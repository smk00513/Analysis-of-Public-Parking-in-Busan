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m\Downloads\"/>
    </mc:Choice>
  </mc:AlternateContent>
  <xr:revisionPtr revIDLastSave="0" documentId="13_ncr:1_{04BF9FC7-308B-4883-BCC8-A2B0BAC12427}" xr6:coauthVersionLast="47" xr6:coauthVersionMax="47" xr10:uidLastSave="{00000000-0000-0000-0000-000000000000}"/>
  <bookViews>
    <workbookView xWindow="-96" yWindow="0" windowWidth="11712" windowHeight="12336" firstSheet="2" activeTab="3" xr2:uid="{00000000-000D-0000-FFFF-FFFF00000000}"/>
  </bookViews>
  <sheets>
    <sheet name="기간별(부산제외)" sheetId="1" state="hidden" r:id="rId1"/>
    <sheet name="지역별(부산제외)" sheetId="4" state="hidden" r:id="rId2"/>
    <sheet name="성별(부산제외)" sheetId="8" r:id="rId3"/>
    <sheet name="연령대별(부산제외)" sheetId="6" r:id="rId4"/>
    <sheet name="요일별(부산제외)" sheetId="5" state="hidden" r:id="rId5"/>
    <sheet name="시간대별(부산제외)" sheetId="7" state="hidden" r:id="rId6"/>
  </sheets>
  <definedNames>
    <definedName name="_xlnm._FilterDatabase" localSheetId="0" hidden="1">'기간별(부산제외)'!$B$2:$L$52</definedName>
    <definedName name="_xlnm._FilterDatabase" localSheetId="1" hidden="1">'지역별(부산제외)'!$A$2:$AK$52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6" l="1"/>
  <c r="V4" i="6"/>
  <c r="W4" i="6" s="1"/>
  <c r="U5" i="6"/>
  <c r="V5" i="6"/>
  <c r="U6" i="6"/>
  <c r="V6" i="6"/>
  <c r="U7" i="6"/>
  <c r="V7" i="6"/>
  <c r="W7" i="6" s="1"/>
  <c r="U8" i="6"/>
  <c r="V8" i="6"/>
  <c r="U9" i="6"/>
  <c r="V9" i="6"/>
  <c r="W9" i="6" s="1"/>
  <c r="U10" i="6"/>
  <c r="V10" i="6"/>
  <c r="U11" i="6"/>
  <c r="V11" i="6"/>
  <c r="W11" i="6" s="1"/>
  <c r="U12" i="6"/>
  <c r="V12" i="6"/>
  <c r="U13" i="6"/>
  <c r="V13" i="6"/>
  <c r="W13" i="6" s="1"/>
  <c r="U14" i="6"/>
  <c r="V14" i="6"/>
  <c r="U15" i="6"/>
  <c r="V15" i="6"/>
  <c r="W15" i="6" s="1"/>
  <c r="U16" i="6"/>
  <c r="V16" i="6"/>
  <c r="U17" i="6"/>
  <c r="V17" i="6"/>
  <c r="W17" i="6" s="1"/>
  <c r="U18" i="6"/>
  <c r="V18" i="6"/>
  <c r="U19" i="6"/>
  <c r="V19" i="6"/>
  <c r="W19" i="6" s="1"/>
  <c r="U20" i="6"/>
  <c r="V20" i="6"/>
  <c r="U21" i="6"/>
  <c r="V21" i="6"/>
  <c r="W21" i="6" s="1"/>
  <c r="U22" i="6"/>
  <c r="V22" i="6"/>
  <c r="U23" i="6"/>
  <c r="V23" i="6"/>
  <c r="W23" i="6" s="1"/>
  <c r="U24" i="6"/>
  <c r="V24" i="6"/>
  <c r="U25" i="6"/>
  <c r="V25" i="6"/>
  <c r="W25" i="6" s="1"/>
  <c r="U26" i="6"/>
  <c r="V26" i="6"/>
  <c r="U27" i="6"/>
  <c r="V27" i="6"/>
  <c r="W27" i="6" s="1"/>
  <c r="U28" i="6"/>
  <c r="V28" i="6"/>
  <c r="U29" i="6"/>
  <c r="V29" i="6"/>
  <c r="W29" i="6" s="1"/>
  <c r="U30" i="6"/>
  <c r="V30" i="6"/>
  <c r="U31" i="6"/>
  <c r="V31" i="6"/>
  <c r="W31" i="6" s="1"/>
  <c r="U32" i="6"/>
  <c r="V32" i="6"/>
  <c r="U33" i="6"/>
  <c r="V33" i="6"/>
  <c r="W33" i="6" s="1"/>
  <c r="U34" i="6"/>
  <c r="V34" i="6"/>
  <c r="U35" i="6"/>
  <c r="V35" i="6"/>
  <c r="W35" i="6" s="1"/>
  <c r="U36" i="6"/>
  <c r="V36" i="6"/>
  <c r="U37" i="6"/>
  <c r="V37" i="6"/>
  <c r="W37" i="6" s="1"/>
  <c r="U38" i="6"/>
  <c r="V38" i="6"/>
  <c r="U39" i="6"/>
  <c r="V39" i="6"/>
  <c r="W39" i="6" s="1"/>
  <c r="U40" i="6"/>
  <c r="V40" i="6"/>
  <c r="U41" i="6"/>
  <c r="V41" i="6"/>
  <c r="W41" i="6" s="1"/>
  <c r="U42" i="6"/>
  <c r="V42" i="6"/>
  <c r="U43" i="6"/>
  <c r="V43" i="6"/>
  <c r="U44" i="6"/>
  <c r="V44" i="6"/>
  <c r="U45" i="6"/>
  <c r="V45" i="6"/>
  <c r="W45" i="6" s="1"/>
  <c r="U46" i="6"/>
  <c r="V46" i="6"/>
  <c r="W46" i="6" s="1"/>
  <c r="U47" i="6"/>
  <c r="V47" i="6"/>
  <c r="U48" i="6"/>
  <c r="V48" i="6"/>
  <c r="U49" i="6"/>
  <c r="V49" i="6"/>
  <c r="U50" i="6"/>
  <c r="V50" i="6"/>
  <c r="W50" i="6" s="1"/>
  <c r="U51" i="6"/>
  <c r="V51" i="6"/>
  <c r="U52" i="6"/>
  <c r="V52" i="6"/>
  <c r="V3" i="6"/>
  <c r="U3" i="6"/>
  <c r="AN6" i="4"/>
  <c r="AN8" i="4"/>
  <c r="AN12" i="4"/>
  <c r="AN14" i="4"/>
  <c r="AN18" i="4"/>
  <c r="AN24" i="4"/>
  <c r="AN30" i="4"/>
  <c r="AN36" i="4"/>
  <c r="AN42" i="4"/>
  <c r="AN48" i="4"/>
  <c r="AL4" i="4"/>
  <c r="AM4" i="4"/>
  <c r="AN4" i="4" s="1"/>
  <c r="AP4" i="4"/>
  <c r="AQ4" i="4"/>
  <c r="AR4" i="4" s="1"/>
  <c r="AL5" i="4"/>
  <c r="AM5" i="4"/>
  <c r="AN5" i="4" s="1"/>
  <c r="AP5" i="4"/>
  <c r="AQ5" i="4"/>
  <c r="AR5" i="4" s="1"/>
  <c r="AL6" i="4"/>
  <c r="AM6" i="4"/>
  <c r="AP6" i="4"/>
  <c r="AQ6" i="4"/>
  <c r="AR6" i="4" s="1"/>
  <c r="AL7" i="4"/>
  <c r="AM7" i="4"/>
  <c r="AN7" i="4" s="1"/>
  <c r="AP7" i="4"/>
  <c r="AQ7" i="4"/>
  <c r="AR7" i="4" s="1"/>
  <c r="AL8" i="4"/>
  <c r="AM8" i="4"/>
  <c r="AP8" i="4"/>
  <c r="AR8" i="4" s="1"/>
  <c r="AQ8" i="4"/>
  <c r="AL9" i="4"/>
  <c r="AM9" i="4"/>
  <c r="AN9" i="4" s="1"/>
  <c r="AP9" i="4"/>
  <c r="AQ9" i="4"/>
  <c r="AR9" i="4" s="1"/>
  <c r="AL10" i="4"/>
  <c r="AM10" i="4"/>
  <c r="AN10" i="4" s="1"/>
  <c r="AP10" i="4"/>
  <c r="AQ10" i="4"/>
  <c r="AR10" i="4" s="1"/>
  <c r="AL11" i="4"/>
  <c r="AM11" i="4"/>
  <c r="AN11" i="4" s="1"/>
  <c r="AP11" i="4"/>
  <c r="AQ11" i="4"/>
  <c r="AR11" i="4" s="1"/>
  <c r="AL12" i="4"/>
  <c r="AM12" i="4"/>
  <c r="AP12" i="4"/>
  <c r="AQ12" i="4"/>
  <c r="AR12" i="4" s="1"/>
  <c r="AL13" i="4"/>
  <c r="AM13" i="4"/>
  <c r="AN13" i="4" s="1"/>
  <c r="AP13" i="4"/>
  <c r="AQ13" i="4"/>
  <c r="AR13" i="4" s="1"/>
  <c r="AL14" i="4"/>
  <c r="AM14" i="4"/>
  <c r="AP14" i="4"/>
  <c r="AR14" i="4" s="1"/>
  <c r="AQ14" i="4"/>
  <c r="AL15" i="4"/>
  <c r="AM15" i="4"/>
  <c r="AN15" i="4" s="1"/>
  <c r="AP15" i="4"/>
  <c r="AQ15" i="4"/>
  <c r="AR15" i="4" s="1"/>
  <c r="AL16" i="4"/>
  <c r="AM16" i="4"/>
  <c r="AN16" i="4" s="1"/>
  <c r="AP16" i="4"/>
  <c r="AQ16" i="4"/>
  <c r="AR16" i="4" s="1"/>
  <c r="AL17" i="4"/>
  <c r="AM17" i="4"/>
  <c r="AN17" i="4" s="1"/>
  <c r="AP17" i="4"/>
  <c r="AQ17" i="4"/>
  <c r="AR17" i="4" s="1"/>
  <c r="AL18" i="4"/>
  <c r="AM18" i="4"/>
  <c r="AP18" i="4"/>
  <c r="AQ18" i="4"/>
  <c r="AR18" i="4" s="1"/>
  <c r="AL19" i="4"/>
  <c r="AM19" i="4"/>
  <c r="AN19" i="4" s="1"/>
  <c r="AP19" i="4"/>
  <c r="AQ19" i="4"/>
  <c r="AR19" i="4" s="1"/>
  <c r="AL20" i="4"/>
  <c r="AN20" i="4" s="1"/>
  <c r="AM20" i="4"/>
  <c r="AP20" i="4"/>
  <c r="AR20" i="4" s="1"/>
  <c r="AQ20" i="4"/>
  <c r="AL21" i="4"/>
  <c r="AM21" i="4"/>
  <c r="AN21" i="4" s="1"/>
  <c r="AP21" i="4"/>
  <c r="AQ21" i="4"/>
  <c r="AR21" i="4" s="1"/>
  <c r="AL22" i="4"/>
  <c r="AM22" i="4"/>
  <c r="AN22" i="4" s="1"/>
  <c r="AP22" i="4"/>
  <c r="AQ22" i="4"/>
  <c r="AR22" i="4" s="1"/>
  <c r="AL23" i="4"/>
  <c r="AM23" i="4"/>
  <c r="AN23" i="4" s="1"/>
  <c r="AP23" i="4"/>
  <c r="AQ23" i="4"/>
  <c r="AR23" i="4" s="1"/>
  <c r="AL24" i="4"/>
  <c r="AM24" i="4"/>
  <c r="AP24" i="4"/>
  <c r="AQ24" i="4"/>
  <c r="AR24" i="4" s="1"/>
  <c r="AL25" i="4"/>
  <c r="AM25" i="4"/>
  <c r="AN25" i="4" s="1"/>
  <c r="AP25" i="4"/>
  <c r="AQ25" i="4"/>
  <c r="AR25" i="4" s="1"/>
  <c r="AL26" i="4"/>
  <c r="AN26" i="4" s="1"/>
  <c r="AM26" i="4"/>
  <c r="AP26" i="4"/>
  <c r="AR26" i="4" s="1"/>
  <c r="AQ26" i="4"/>
  <c r="AL27" i="4"/>
  <c r="AM27" i="4"/>
  <c r="AN27" i="4" s="1"/>
  <c r="AP27" i="4"/>
  <c r="AQ27" i="4"/>
  <c r="AL28" i="4"/>
  <c r="AM28" i="4"/>
  <c r="AN28" i="4" s="1"/>
  <c r="AP28" i="4"/>
  <c r="AQ28" i="4"/>
  <c r="AR28" i="4" s="1"/>
  <c r="AL29" i="4"/>
  <c r="AM29" i="4"/>
  <c r="AN29" i="4" s="1"/>
  <c r="AP29" i="4"/>
  <c r="AQ29" i="4"/>
  <c r="AR29" i="4" s="1"/>
  <c r="AL30" i="4"/>
  <c r="AM30" i="4"/>
  <c r="AP30" i="4"/>
  <c r="AQ30" i="4"/>
  <c r="AR30" i="4" s="1"/>
  <c r="AL31" i="4"/>
  <c r="AM31" i="4"/>
  <c r="AN31" i="4" s="1"/>
  <c r="AP31" i="4"/>
  <c r="AQ31" i="4"/>
  <c r="AR31" i="4" s="1"/>
  <c r="AL32" i="4"/>
  <c r="AN32" i="4" s="1"/>
  <c r="AM32" i="4"/>
  <c r="AP32" i="4"/>
  <c r="AR32" i="4" s="1"/>
  <c r="AQ32" i="4"/>
  <c r="AL33" i="4"/>
  <c r="AM33" i="4"/>
  <c r="AN33" i="4" s="1"/>
  <c r="AP33" i="4"/>
  <c r="AQ33" i="4"/>
  <c r="AR33" i="4" s="1"/>
  <c r="AL34" i="4"/>
  <c r="AM34" i="4"/>
  <c r="AN34" i="4" s="1"/>
  <c r="AP34" i="4"/>
  <c r="AQ34" i="4"/>
  <c r="AR34" i="4" s="1"/>
  <c r="AL35" i="4"/>
  <c r="AM35" i="4"/>
  <c r="AN35" i="4" s="1"/>
  <c r="AP35" i="4"/>
  <c r="AQ35" i="4"/>
  <c r="AR35" i="4" s="1"/>
  <c r="AL36" i="4"/>
  <c r="AM36" i="4"/>
  <c r="AP36" i="4"/>
  <c r="AQ36" i="4"/>
  <c r="AR36" i="4" s="1"/>
  <c r="AL37" i="4"/>
  <c r="AM37" i="4"/>
  <c r="AN37" i="4" s="1"/>
  <c r="AP37" i="4"/>
  <c r="AQ37" i="4"/>
  <c r="AR37" i="4" s="1"/>
  <c r="AL38" i="4"/>
  <c r="AN38" i="4" s="1"/>
  <c r="AM38" i="4"/>
  <c r="AP38" i="4"/>
  <c r="AR38" i="4" s="1"/>
  <c r="AQ38" i="4"/>
  <c r="AL39" i="4"/>
  <c r="AM39" i="4"/>
  <c r="AN39" i="4" s="1"/>
  <c r="AP39" i="4"/>
  <c r="AQ39" i="4"/>
  <c r="AR39" i="4" s="1"/>
  <c r="AL40" i="4"/>
  <c r="AM40" i="4"/>
  <c r="AN40" i="4" s="1"/>
  <c r="AP40" i="4"/>
  <c r="AQ40" i="4"/>
  <c r="AR40" i="4" s="1"/>
  <c r="AL41" i="4"/>
  <c r="AM41" i="4"/>
  <c r="AN41" i="4" s="1"/>
  <c r="AP41" i="4"/>
  <c r="AQ41" i="4"/>
  <c r="AR41" i="4" s="1"/>
  <c r="AL42" i="4"/>
  <c r="AM42" i="4"/>
  <c r="AP42" i="4"/>
  <c r="AQ42" i="4"/>
  <c r="AR42" i="4" s="1"/>
  <c r="AL43" i="4"/>
  <c r="AM43" i="4"/>
  <c r="AN43" i="4" s="1"/>
  <c r="AP43" i="4"/>
  <c r="AQ43" i="4"/>
  <c r="AR43" i="4" s="1"/>
  <c r="AL44" i="4"/>
  <c r="AN44" i="4" s="1"/>
  <c r="AM44" i="4"/>
  <c r="AP44" i="4"/>
  <c r="AR44" i="4" s="1"/>
  <c r="AQ44" i="4"/>
  <c r="AL45" i="4"/>
  <c r="AM45" i="4"/>
  <c r="AN45" i="4" s="1"/>
  <c r="AP45" i="4"/>
  <c r="AQ45" i="4"/>
  <c r="AR45" i="4" s="1"/>
  <c r="AL46" i="4"/>
  <c r="AM46" i="4"/>
  <c r="AN46" i="4" s="1"/>
  <c r="AP46" i="4"/>
  <c r="AQ46" i="4"/>
  <c r="AR46" i="4" s="1"/>
  <c r="AL47" i="4"/>
  <c r="AM47" i="4"/>
  <c r="AN47" i="4" s="1"/>
  <c r="AP47" i="4"/>
  <c r="AQ47" i="4"/>
  <c r="AR47" i="4" s="1"/>
  <c r="AL48" i="4"/>
  <c r="AM48" i="4"/>
  <c r="AP48" i="4"/>
  <c r="AQ48" i="4"/>
  <c r="AR48" i="4" s="1"/>
  <c r="AL49" i="4"/>
  <c r="AM49" i="4"/>
  <c r="AN49" i="4" s="1"/>
  <c r="AP49" i="4"/>
  <c r="AQ49" i="4"/>
  <c r="AR49" i="4" s="1"/>
  <c r="AL50" i="4"/>
  <c r="AN50" i="4" s="1"/>
  <c r="AM50" i="4"/>
  <c r="AP50" i="4"/>
  <c r="AR50" i="4" s="1"/>
  <c r="AQ50" i="4"/>
  <c r="AL51" i="4"/>
  <c r="AM51" i="4"/>
  <c r="AN51" i="4" s="1"/>
  <c r="AP51" i="4"/>
  <c r="AQ51" i="4"/>
  <c r="AR51" i="4" s="1"/>
  <c r="AL52" i="4"/>
  <c r="AM52" i="4"/>
  <c r="AN52" i="4" s="1"/>
  <c r="AP52" i="4"/>
  <c r="AQ52" i="4"/>
  <c r="AR52" i="4" s="1"/>
  <c r="AQ3" i="4"/>
  <c r="AR3" i="4" s="1"/>
  <c r="AP3" i="4"/>
  <c r="AM3" i="4"/>
  <c r="AN3" i="4" s="1"/>
  <c r="AL3" i="4"/>
  <c r="W3" i="6" l="1"/>
  <c r="AS37" i="4"/>
  <c r="AS10" i="4"/>
  <c r="AS48" i="4"/>
  <c r="AS36" i="4"/>
  <c r="AS30" i="4"/>
  <c r="AS6" i="4"/>
  <c r="AS47" i="4"/>
  <c r="AS17" i="4"/>
  <c r="AS40" i="4"/>
  <c r="AS19" i="4"/>
  <c r="AO52" i="4"/>
  <c r="AO37" i="4"/>
  <c r="AO28" i="4"/>
  <c r="AO16" i="4"/>
  <c r="AO44" i="4"/>
  <c r="W49" i="6"/>
  <c r="AR27" i="4"/>
  <c r="AS44" i="4"/>
  <c r="AS8" i="4"/>
  <c r="W42" i="6"/>
  <c r="X18" i="6"/>
  <c r="W5" i="6"/>
  <c r="X28" i="6"/>
  <c r="W51" i="6"/>
  <c r="W47" i="6"/>
  <c r="W43" i="6"/>
  <c r="X39" i="6"/>
  <c r="X35" i="6"/>
  <c r="X29" i="6"/>
  <c r="X23" i="6"/>
  <c r="X21" i="6"/>
  <c r="W52" i="6"/>
  <c r="W48" i="6"/>
  <c r="X45" i="6"/>
  <c r="W44" i="6"/>
  <c r="W40" i="6"/>
  <c r="W38" i="6"/>
  <c r="W36" i="6"/>
  <c r="W34" i="6"/>
  <c r="W32" i="6"/>
  <c r="W30" i="6"/>
  <c r="W28" i="6"/>
  <c r="W26" i="6"/>
  <c r="W24" i="6"/>
  <c r="W22" i="6"/>
  <c r="W20" i="6"/>
  <c r="W18" i="6"/>
  <c r="W16" i="6"/>
  <c r="W14" i="6"/>
  <c r="W12" i="6"/>
  <c r="W10" i="6"/>
  <c r="W8" i="6"/>
  <c r="W6" i="6"/>
  <c r="Q3" i="7"/>
  <c r="Q51" i="7"/>
  <c r="Q17" i="7"/>
  <c r="Q19" i="7"/>
  <c r="Q13" i="7"/>
  <c r="Q23" i="7"/>
  <c r="Q10" i="7"/>
  <c r="Q45" i="7"/>
  <c r="Q49" i="7"/>
  <c r="Q22" i="7"/>
  <c r="Q30" i="7"/>
  <c r="Q29" i="7"/>
  <c r="Q12" i="7"/>
  <c r="Q44" i="7"/>
  <c r="Q52" i="7"/>
  <c r="Q7" i="7"/>
  <c r="Q5" i="7"/>
  <c r="Q18" i="7"/>
  <c r="Q28" i="7"/>
  <c r="Q26" i="7"/>
  <c r="Q8" i="7"/>
  <c r="Q14" i="7"/>
  <c r="Q6" i="7"/>
  <c r="Q48" i="7"/>
  <c r="Q31" i="7"/>
  <c r="Q9" i="7"/>
  <c r="Q50" i="7"/>
  <c r="Q35" i="7"/>
  <c r="Q11" i="7"/>
  <c r="Q21" i="7"/>
  <c r="Q39" i="7"/>
  <c r="Q32" i="7"/>
  <c r="Q4" i="7"/>
  <c r="Q41" i="7"/>
  <c r="Q24" i="7"/>
  <c r="Q40" i="7"/>
  <c r="Q34" i="7"/>
  <c r="Q37" i="7"/>
  <c r="Q42" i="7"/>
  <c r="Q46" i="7"/>
  <c r="Q20" i="7"/>
  <c r="Q43" i="7"/>
  <c r="Q36" i="7"/>
  <c r="Q16" i="7"/>
  <c r="Q25" i="7"/>
  <c r="Q27" i="7"/>
  <c r="Q33" i="7"/>
  <c r="Q15" i="7"/>
  <c r="Q38" i="7"/>
  <c r="Q47" i="7"/>
  <c r="T4" i="5"/>
  <c r="T8" i="5"/>
  <c r="T9" i="5"/>
  <c r="T11" i="5"/>
  <c r="T12" i="5"/>
  <c r="T15" i="5"/>
  <c r="T16" i="5"/>
  <c r="T20" i="5"/>
  <c r="T21" i="5"/>
  <c r="T26" i="5"/>
  <c r="T28" i="5"/>
  <c r="T31" i="5"/>
  <c r="T32" i="5"/>
  <c r="T34" i="5"/>
  <c r="T38" i="5"/>
  <c r="T40" i="5"/>
  <c r="T44" i="5"/>
  <c r="T45" i="5"/>
  <c r="T47" i="5"/>
  <c r="T48" i="5"/>
  <c r="T51" i="5"/>
  <c r="T52" i="5"/>
  <c r="S3" i="5"/>
  <c r="T3" i="5" s="1"/>
  <c r="S51" i="5"/>
  <c r="S17" i="5"/>
  <c r="T17" i="5" s="1"/>
  <c r="S19" i="5"/>
  <c r="T19" i="5" s="1"/>
  <c r="S13" i="5"/>
  <c r="T13" i="5" s="1"/>
  <c r="S23" i="5"/>
  <c r="T23" i="5" s="1"/>
  <c r="S10" i="5"/>
  <c r="T10" i="5" s="1"/>
  <c r="S45" i="5"/>
  <c r="S49" i="5"/>
  <c r="T49" i="5" s="1"/>
  <c r="S22" i="5"/>
  <c r="T22" i="5" s="1"/>
  <c r="S30" i="5"/>
  <c r="T30" i="5" s="1"/>
  <c r="S29" i="5"/>
  <c r="T29" i="5" s="1"/>
  <c r="S12" i="5"/>
  <c r="S44" i="5"/>
  <c r="S52" i="5"/>
  <c r="S7" i="5"/>
  <c r="T7" i="5" s="1"/>
  <c r="S5" i="5"/>
  <c r="T5" i="5" s="1"/>
  <c r="S18" i="5"/>
  <c r="T18" i="5" s="1"/>
  <c r="S28" i="5"/>
  <c r="S26" i="5"/>
  <c r="S8" i="5"/>
  <c r="S14" i="5"/>
  <c r="T14" i="5" s="1"/>
  <c r="S6" i="5"/>
  <c r="T6" i="5" s="1"/>
  <c r="S48" i="5"/>
  <c r="S31" i="5"/>
  <c r="S9" i="5"/>
  <c r="S50" i="5"/>
  <c r="T50" i="5" s="1"/>
  <c r="S35" i="5"/>
  <c r="T35" i="5" s="1"/>
  <c r="S11" i="5"/>
  <c r="S21" i="5"/>
  <c r="S39" i="5"/>
  <c r="T39" i="5" s="1"/>
  <c r="S32" i="5"/>
  <c r="S4" i="5"/>
  <c r="S41" i="5"/>
  <c r="T41" i="5" s="1"/>
  <c r="S24" i="5"/>
  <c r="T24" i="5" s="1"/>
  <c r="S40" i="5"/>
  <c r="S34" i="5"/>
  <c r="S37" i="5"/>
  <c r="T37" i="5" s="1"/>
  <c r="S42" i="5"/>
  <c r="T42" i="5" s="1"/>
  <c r="S46" i="5"/>
  <c r="T46" i="5" s="1"/>
  <c r="S20" i="5"/>
  <c r="S43" i="5"/>
  <c r="T43" i="5" s="1"/>
  <c r="S36" i="5"/>
  <c r="T36" i="5" s="1"/>
  <c r="S16" i="5"/>
  <c r="S25" i="5"/>
  <c r="T25" i="5" s="1"/>
  <c r="S27" i="5"/>
  <c r="T27" i="5" s="1"/>
  <c r="S33" i="5"/>
  <c r="T33" i="5" s="1"/>
  <c r="S15" i="5"/>
  <c r="S38" i="5"/>
  <c r="S47" i="5"/>
  <c r="T3" i="6"/>
  <c r="X3" i="6" s="1"/>
  <c r="T51" i="6"/>
  <c r="X51" i="6" s="1"/>
  <c r="T17" i="6"/>
  <c r="X17" i="6" s="1"/>
  <c r="T19" i="6"/>
  <c r="X19" i="6" s="1"/>
  <c r="T13" i="6"/>
  <c r="X13" i="6" s="1"/>
  <c r="T23" i="6"/>
  <c r="T10" i="6"/>
  <c r="X10" i="6" s="1"/>
  <c r="T45" i="6"/>
  <c r="T49" i="6"/>
  <c r="X49" i="6" s="1"/>
  <c r="T22" i="6"/>
  <c r="X22" i="6" s="1"/>
  <c r="T30" i="6"/>
  <c r="X30" i="6" s="1"/>
  <c r="T29" i="6"/>
  <c r="T12" i="6"/>
  <c r="X12" i="6" s="1"/>
  <c r="T44" i="6"/>
  <c r="X44" i="6" s="1"/>
  <c r="T52" i="6"/>
  <c r="X52" i="6" s="1"/>
  <c r="T7" i="6"/>
  <c r="X7" i="6" s="1"/>
  <c r="T5" i="6"/>
  <c r="X5" i="6" s="1"/>
  <c r="T18" i="6"/>
  <c r="T28" i="6"/>
  <c r="T26" i="6"/>
  <c r="X26" i="6" s="1"/>
  <c r="T8" i="6"/>
  <c r="X8" i="6" s="1"/>
  <c r="T14" i="6"/>
  <c r="X14" i="6" s="1"/>
  <c r="T6" i="6"/>
  <c r="X6" i="6" s="1"/>
  <c r="T48" i="6"/>
  <c r="X48" i="6" s="1"/>
  <c r="T31" i="6"/>
  <c r="X31" i="6" s="1"/>
  <c r="T9" i="6"/>
  <c r="X9" i="6" s="1"/>
  <c r="T50" i="6"/>
  <c r="X50" i="6" s="1"/>
  <c r="T35" i="6"/>
  <c r="T11" i="6"/>
  <c r="X11" i="6" s="1"/>
  <c r="T21" i="6"/>
  <c r="T39" i="6"/>
  <c r="T32" i="6"/>
  <c r="X32" i="6" s="1"/>
  <c r="T4" i="6"/>
  <c r="X4" i="6" s="1"/>
  <c r="T41" i="6"/>
  <c r="X41" i="6" s="1"/>
  <c r="T24" i="6"/>
  <c r="X24" i="6" s="1"/>
  <c r="T40" i="6"/>
  <c r="X40" i="6" s="1"/>
  <c r="T34" i="6"/>
  <c r="X34" i="6" s="1"/>
  <c r="T37" i="6"/>
  <c r="X37" i="6" s="1"/>
  <c r="T42" i="6"/>
  <c r="X42" i="6" s="1"/>
  <c r="T46" i="6"/>
  <c r="X46" i="6" s="1"/>
  <c r="T20" i="6"/>
  <c r="X20" i="6" s="1"/>
  <c r="T43" i="6"/>
  <c r="X43" i="6" s="1"/>
  <c r="T36" i="6"/>
  <c r="X36" i="6" s="1"/>
  <c r="T16" i="6"/>
  <c r="X16" i="6" s="1"/>
  <c r="T25" i="6"/>
  <c r="X25" i="6" s="1"/>
  <c r="T27" i="6"/>
  <c r="X27" i="6" s="1"/>
  <c r="T33" i="6"/>
  <c r="X33" i="6" s="1"/>
  <c r="T15" i="6"/>
  <c r="X15" i="6" s="1"/>
  <c r="T38" i="6"/>
  <c r="X38" i="6" s="1"/>
  <c r="T47" i="6"/>
  <c r="X47" i="6" s="1"/>
  <c r="I3" i="8"/>
  <c r="I51" i="8"/>
  <c r="I17" i="8"/>
  <c r="I19" i="8"/>
  <c r="I13" i="8"/>
  <c r="I23" i="8"/>
  <c r="I10" i="8"/>
  <c r="I45" i="8"/>
  <c r="I49" i="8"/>
  <c r="I22" i="8"/>
  <c r="I30" i="8"/>
  <c r="I29" i="8"/>
  <c r="I12" i="8"/>
  <c r="I44" i="8"/>
  <c r="I52" i="8"/>
  <c r="I7" i="8"/>
  <c r="I5" i="8"/>
  <c r="I18" i="8"/>
  <c r="I28" i="8"/>
  <c r="I26" i="8"/>
  <c r="I8" i="8"/>
  <c r="I14" i="8"/>
  <c r="I6" i="8"/>
  <c r="I48" i="8"/>
  <c r="I31" i="8"/>
  <c r="I9" i="8"/>
  <c r="I50" i="8"/>
  <c r="I35" i="8"/>
  <c r="I11" i="8"/>
  <c r="I21" i="8"/>
  <c r="I39" i="8"/>
  <c r="I32" i="8"/>
  <c r="I4" i="8"/>
  <c r="I41" i="8"/>
  <c r="I24" i="8"/>
  <c r="I40" i="8"/>
  <c r="I34" i="8"/>
  <c r="I37" i="8"/>
  <c r="I42" i="8"/>
  <c r="I46" i="8"/>
  <c r="I20" i="8"/>
  <c r="I43" i="8"/>
  <c r="I36" i="8"/>
  <c r="I16" i="8"/>
  <c r="I25" i="8"/>
  <c r="I27" i="8"/>
  <c r="I33" i="8"/>
  <c r="I15" i="8"/>
  <c r="I38" i="8"/>
  <c r="I47" i="8"/>
  <c r="AK3" i="4"/>
  <c r="AS3" i="4" s="1"/>
  <c r="AK51" i="4"/>
  <c r="AS51" i="4" s="1"/>
  <c r="AK17" i="4"/>
  <c r="AO17" i="4" s="1"/>
  <c r="AK19" i="4"/>
  <c r="AO19" i="4" s="1"/>
  <c r="AK13" i="4"/>
  <c r="AS13" i="4" s="1"/>
  <c r="AK23" i="4"/>
  <c r="AS23" i="4" s="1"/>
  <c r="AK10" i="4"/>
  <c r="AO10" i="4" s="1"/>
  <c r="AK45" i="4"/>
  <c r="AS45" i="4" s="1"/>
  <c r="AK49" i="4"/>
  <c r="AS49" i="4" s="1"/>
  <c r="AK22" i="4"/>
  <c r="AO22" i="4" s="1"/>
  <c r="AK30" i="4"/>
  <c r="AO30" i="4" s="1"/>
  <c r="AK29" i="4"/>
  <c r="AS29" i="4" s="1"/>
  <c r="AK12" i="4"/>
  <c r="AO12" i="4" s="1"/>
  <c r="AK44" i="4"/>
  <c r="AK52" i="4"/>
  <c r="AS52" i="4" s="1"/>
  <c r="AK7" i="4"/>
  <c r="AS7" i="4" s="1"/>
  <c r="AK5" i="4"/>
  <c r="AS5" i="4" s="1"/>
  <c r="AK18" i="4"/>
  <c r="AO18" i="4" s="1"/>
  <c r="AK28" i="4"/>
  <c r="AS28" i="4" s="1"/>
  <c r="AK26" i="4"/>
  <c r="AO26" i="4" s="1"/>
  <c r="AK8" i="4"/>
  <c r="AO8" i="4" s="1"/>
  <c r="AK14" i="4"/>
  <c r="AO14" i="4" s="1"/>
  <c r="AK6" i="4"/>
  <c r="AO6" i="4" s="1"/>
  <c r="AK48" i="4"/>
  <c r="AO48" i="4" s="1"/>
  <c r="AK31" i="4"/>
  <c r="AS31" i="4" s="1"/>
  <c r="AK9" i="4"/>
  <c r="AK50" i="4"/>
  <c r="AS50" i="4" s="1"/>
  <c r="AK35" i="4"/>
  <c r="AO35" i="4" s="1"/>
  <c r="AK11" i="4"/>
  <c r="AO11" i="4" s="1"/>
  <c r="AK21" i="4"/>
  <c r="AK39" i="4"/>
  <c r="AS39" i="4" s="1"/>
  <c r="AK32" i="4"/>
  <c r="AO32" i="4" s="1"/>
  <c r="AK4" i="4"/>
  <c r="AS4" i="4" s="1"/>
  <c r="AK41" i="4"/>
  <c r="AO41" i="4" s="1"/>
  <c r="AK24" i="4"/>
  <c r="AO24" i="4" s="1"/>
  <c r="AK40" i="4"/>
  <c r="AO40" i="4" s="1"/>
  <c r="AK34" i="4"/>
  <c r="AS34" i="4" s="1"/>
  <c r="AK37" i="4"/>
  <c r="AK42" i="4"/>
  <c r="AO42" i="4" s="1"/>
  <c r="AK46" i="4"/>
  <c r="AO46" i="4" s="1"/>
  <c r="AK20" i="4"/>
  <c r="AO20" i="4" s="1"/>
  <c r="AK43" i="4"/>
  <c r="AS43" i="4" s="1"/>
  <c r="AK36" i="4"/>
  <c r="AO36" i="4" s="1"/>
  <c r="AK16" i="4"/>
  <c r="AS16" i="4" s="1"/>
  <c r="AK25" i="4"/>
  <c r="AO25" i="4" s="1"/>
  <c r="AK27" i="4"/>
  <c r="AO27" i="4" s="1"/>
  <c r="AK33" i="4"/>
  <c r="AS33" i="4" s="1"/>
  <c r="AK15" i="4"/>
  <c r="AK38" i="4"/>
  <c r="AS38" i="4" s="1"/>
  <c r="AK47" i="4"/>
  <c r="AO47" i="4" s="1"/>
  <c r="L13" i="1"/>
  <c r="L34" i="1"/>
  <c r="J3" i="1"/>
  <c r="J51" i="1"/>
  <c r="L51" i="1" s="1"/>
  <c r="J17" i="1"/>
  <c r="L17" i="1" s="1"/>
  <c r="J19" i="1"/>
  <c r="J13" i="1"/>
  <c r="J23" i="1"/>
  <c r="J10" i="1"/>
  <c r="J45" i="1"/>
  <c r="J49" i="1"/>
  <c r="L49" i="1" s="1"/>
  <c r="J22" i="1"/>
  <c r="J30" i="1"/>
  <c r="J29" i="1"/>
  <c r="J12" i="1"/>
  <c r="J44" i="1"/>
  <c r="J52" i="1"/>
  <c r="J7" i="1"/>
  <c r="J5" i="1"/>
  <c r="L5" i="1" s="1"/>
  <c r="J18" i="1"/>
  <c r="L18" i="1" s="1"/>
  <c r="J28" i="1"/>
  <c r="J26" i="1"/>
  <c r="J8" i="1"/>
  <c r="L8" i="1" s="1"/>
  <c r="J14" i="1"/>
  <c r="L14" i="1" s="1"/>
  <c r="J6" i="1"/>
  <c r="J48" i="1"/>
  <c r="L48" i="1" s="1"/>
  <c r="J31" i="1"/>
  <c r="J9" i="1"/>
  <c r="J50" i="1"/>
  <c r="J35" i="1"/>
  <c r="J11" i="1"/>
  <c r="J21" i="1"/>
  <c r="J39" i="1"/>
  <c r="J32" i="1"/>
  <c r="J4" i="1"/>
  <c r="L4" i="1" s="1"/>
  <c r="J41" i="1"/>
  <c r="J24" i="1"/>
  <c r="J40" i="1"/>
  <c r="J34" i="1"/>
  <c r="J37" i="1"/>
  <c r="J42" i="1"/>
  <c r="J46" i="1"/>
  <c r="J20" i="1"/>
  <c r="J43" i="1"/>
  <c r="J36" i="1"/>
  <c r="J16" i="1"/>
  <c r="J25" i="1"/>
  <c r="J27" i="1"/>
  <c r="J33" i="1"/>
  <c r="J15" i="1"/>
  <c r="J38" i="1"/>
  <c r="J47" i="1"/>
  <c r="L47" i="1" s="1"/>
  <c r="F3" i="1"/>
  <c r="F51" i="1"/>
  <c r="F17" i="1"/>
  <c r="F19" i="1"/>
  <c r="F13" i="1"/>
  <c r="F23" i="1"/>
  <c r="F10" i="1"/>
  <c r="F45" i="1"/>
  <c r="F49" i="1"/>
  <c r="F22" i="1"/>
  <c r="F30" i="1"/>
  <c r="F29" i="1"/>
  <c r="F12" i="1"/>
  <c r="F44" i="1"/>
  <c r="F52" i="1"/>
  <c r="F7" i="1"/>
  <c r="F5" i="1"/>
  <c r="F18" i="1"/>
  <c r="F28" i="1"/>
  <c r="F26" i="1"/>
  <c r="F8" i="1"/>
  <c r="F14" i="1"/>
  <c r="F6" i="1"/>
  <c r="F48" i="1"/>
  <c r="F31" i="1"/>
  <c r="L31" i="1" s="1"/>
  <c r="F9" i="1"/>
  <c r="F50" i="1"/>
  <c r="F35" i="1"/>
  <c r="L35" i="1" s="1"/>
  <c r="F11" i="1"/>
  <c r="F21" i="1"/>
  <c r="F39" i="1"/>
  <c r="F32" i="1"/>
  <c r="F4" i="1"/>
  <c r="F41" i="1"/>
  <c r="F24" i="1"/>
  <c r="F40" i="1"/>
  <c r="F34" i="1"/>
  <c r="F37" i="1"/>
  <c r="F42" i="1"/>
  <c r="F46" i="1"/>
  <c r="L46" i="1" s="1"/>
  <c r="F20" i="1"/>
  <c r="F43" i="1"/>
  <c r="F36" i="1"/>
  <c r="F16" i="1"/>
  <c r="F25" i="1"/>
  <c r="F27" i="1"/>
  <c r="F33" i="1"/>
  <c r="F15" i="1"/>
  <c r="F38" i="1"/>
  <c r="F47" i="1"/>
  <c r="AO38" i="4" l="1"/>
  <c r="AS11" i="4"/>
  <c r="L50" i="1"/>
  <c r="AS15" i="4"/>
  <c r="AO15" i="4"/>
  <c r="AO31" i="4"/>
  <c r="AS25" i="4"/>
  <c r="AO5" i="4"/>
  <c r="AS35" i="4"/>
  <c r="L19" i="1"/>
  <c r="AO50" i="4"/>
  <c r="AO34" i="4"/>
  <c r="AS41" i="4"/>
  <c r="AS42" i="4"/>
  <c r="AS27" i="4"/>
  <c r="AO3" i="4"/>
  <c r="AS14" i="4"/>
  <c r="AO4" i="4"/>
  <c r="AS46" i="4"/>
  <c r="AO33" i="4"/>
  <c r="L38" i="1"/>
  <c r="AS20" i="4"/>
  <c r="AO7" i="4"/>
  <c r="AO43" i="4"/>
  <c r="AO39" i="4"/>
  <c r="L40" i="1"/>
  <c r="AS26" i="4"/>
  <c r="AO23" i="4"/>
  <c r="AO45" i="4"/>
  <c r="AS22" i="4"/>
  <c r="L3" i="1"/>
  <c r="L33" i="1"/>
  <c r="L24" i="1"/>
  <c r="AS21" i="4"/>
  <c r="AO21" i="4"/>
  <c r="AS32" i="4"/>
  <c r="AO13" i="4"/>
  <c r="AO49" i="4"/>
  <c r="AO29" i="4"/>
  <c r="AO51" i="4"/>
  <c r="AS12" i="4"/>
  <c r="L32" i="1"/>
  <c r="L26" i="1"/>
  <c r="AS18" i="4"/>
  <c r="L39" i="1"/>
  <c r="L28" i="1"/>
  <c r="AS9" i="4"/>
  <c r="AO9" i="4"/>
  <c r="AS24" i="4"/>
  <c r="L52" i="1"/>
  <c r="L27" i="1"/>
  <c r="L7" i="1"/>
  <c r="L44" i="1"/>
  <c r="L12" i="1"/>
  <c r="L30" i="1"/>
  <c r="L43" i="1"/>
  <c r="L9" i="1"/>
  <c r="L22" i="1"/>
  <c r="L20" i="1"/>
  <c r="L45" i="1"/>
  <c r="L42" i="1"/>
  <c r="L6" i="1"/>
  <c r="L10" i="1"/>
  <c r="L37" i="1"/>
  <c r="L23" i="1"/>
  <c r="L25" i="1"/>
  <c r="L16" i="1"/>
  <c r="L41" i="1"/>
  <c r="L15" i="1"/>
  <c r="L21" i="1"/>
  <c r="L11" i="1"/>
  <c r="L29" i="1"/>
  <c r="L36" i="1"/>
  <c r="K5" i="1"/>
  <c r="K4" i="1"/>
  <c r="K18" i="1"/>
  <c r="K38" i="1"/>
  <c r="K29" i="1"/>
  <c r="K41" i="1"/>
  <c r="K25" i="1"/>
  <c r="K16" i="1"/>
  <c r="K45" i="1"/>
  <c r="K47" i="1"/>
  <c r="K11" i="1"/>
  <c r="K48" i="1"/>
  <c r="K42" i="1"/>
  <c r="K10" i="1"/>
  <c r="K51" i="1"/>
  <c r="K12" i="1"/>
  <c r="K46" i="1"/>
  <c r="K6" i="1"/>
  <c r="K3" i="1"/>
  <c r="K35" i="1"/>
  <c r="K23" i="1"/>
  <c r="K8" i="1"/>
  <c r="K40" i="1"/>
  <c r="K17" i="1"/>
  <c r="K15" i="1"/>
  <c r="K32" i="1"/>
  <c r="K7" i="1"/>
  <c r="K37" i="1"/>
  <c r="K13" i="1"/>
  <c r="K26" i="1"/>
  <c r="K28" i="1"/>
  <c r="K33" i="1"/>
  <c r="K39" i="1"/>
  <c r="K52" i="1"/>
  <c r="K14" i="1"/>
  <c r="K34" i="1"/>
  <c r="K19" i="1"/>
  <c r="K24" i="1"/>
  <c r="K27" i="1"/>
  <c r="K21" i="1"/>
  <c r="K44" i="1"/>
  <c r="K36" i="1"/>
  <c r="K30" i="1"/>
  <c r="K22" i="1"/>
  <c r="K50" i="1"/>
  <c r="K43" i="1"/>
  <c r="K9" i="1"/>
  <c r="K20" i="1"/>
  <c r="K31" i="1"/>
  <c r="K49" i="1"/>
</calcChain>
</file>

<file path=xl/sharedStrings.xml><?xml version="1.0" encoding="utf-8"?>
<sst xmlns="http://schemas.openxmlformats.org/spreadsheetml/2006/main" count="500" uniqueCount="142">
  <si>
    <t>장산</t>
  </si>
  <si>
    <t>부산 서면</t>
  </si>
  <si>
    <t>해동 용궁사</t>
  </si>
  <si>
    <t>송도 해수욕장</t>
  </si>
  <si>
    <t>송정 해수욕장</t>
  </si>
  <si>
    <t>일광 해수욕장</t>
  </si>
  <si>
    <t>임랑 해수욕장</t>
  </si>
  <si>
    <t>가덕도</t>
  </si>
  <si>
    <t>금정산</t>
  </si>
  <si>
    <t>범어사</t>
  </si>
  <si>
    <t>을숙도</t>
  </si>
  <si>
    <t>청사포</t>
  </si>
  <si>
    <t>태종대</t>
  </si>
  <si>
    <t>동백섬 일원</t>
  </si>
  <si>
    <t>아미산 전망대</t>
  </si>
  <si>
    <t>황령산 봉수대</t>
  </si>
  <si>
    <t>광안리 해수욕장</t>
  </si>
  <si>
    <t>해운대 해수욕장</t>
  </si>
  <si>
    <t>부산역_초량</t>
  </si>
  <si>
    <t>오륙도_이기대 갈맷길</t>
  </si>
  <si>
    <t>온천장_금강공원</t>
  </si>
  <si>
    <t>자갈치_국제시장</t>
  </si>
  <si>
    <t>마린시티</t>
  </si>
  <si>
    <t>센텀시티</t>
  </si>
  <si>
    <t>아홉산숲</t>
  </si>
  <si>
    <t>암남공원</t>
  </si>
  <si>
    <t>오시리아</t>
  </si>
  <si>
    <t>장림포구</t>
  </si>
  <si>
    <t>해리단길</t>
  </si>
  <si>
    <t>기장해변_대변항</t>
  </si>
  <si>
    <t>달맞이고개</t>
  </si>
  <si>
    <t>렛츠런파크</t>
  </si>
  <si>
    <t>스포원파크</t>
  </si>
  <si>
    <t>해운대시장</t>
  </si>
  <si>
    <t>회동수원지_수목원</t>
  </si>
  <si>
    <t>감천문화마을</t>
  </si>
  <si>
    <t>민락수변공원</t>
  </si>
  <si>
    <t>부산민주공원</t>
  </si>
  <si>
    <t>부산시민공원</t>
  </si>
  <si>
    <t>성지곡수원지</t>
  </si>
  <si>
    <t>용소웰빙공원</t>
  </si>
  <si>
    <t>전포카페거리</t>
  </si>
  <si>
    <t>수영사적공원_망미단길</t>
  </si>
  <si>
    <t>국립해양박물관</t>
  </si>
  <si>
    <t>낙동강생태공원</t>
  </si>
  <si>
    <t>다대포해수욕장</t>
  </si>
  <si>
    <t>죽성드림세트장</t>
  </si>
  <si>
    <t>흰여울문화마을</t>
  </si>
  <si>
    <t>BIFF광장 일원</t>
  </si>
  <si>
    <t>UN기념공원</t>
  </si>
  <si>
    <t>관광지</t>
    <phoneticPr fontId="2" type="noConversion"/>
  </si>
  <si>
    <t>순위</t>
    <phoneticPr fontId="2" type="noConversion"/>
  </si>
  <si>
    <r>
      <t>2021</t>
    </r>
    <r>
      <rPr>
        <b/>
        <sz val="11"/>
        <rFont val="맑은 고딕"/>
        <family val="3"/>
        <charset val="129"/>
      </rPr>
      <t xml:space="preserve">년 </t>
    </r>
    <r>
      <rPr>
        <b/>
        <sz val="11"/>
        <rFont val="Calibri"/>
        <family val="2"/>
      </rPr>
      <t>5</t>
    </r>
    <r>
      <rPr>
        <b/>
        <sz val="11"/>
        <rFont val="맑은 고딕"/>
        <family val="3"/>
        <charset val="129"/>
      </rPr>
      <t>월연휴주</t>
    </r>
    <phoneticPr fontId="2" type="noConversion"/>
  </si>
  <si>
    <r>
      <t>2021</t>
    </r>
    <r>
      <rPr>
        <b/>
        <sz val="11"/>
        <rFont val="맑은 고딕"/>
        <family val="3"/>
        <charset val="129"/>
      </rPr>
      <t>년 여름휴가</t>
    </r>
    <phoneticPr fontId="2" type="noConversion"/>
  </si>
  <si>
    <r>
      <t>2021</t>
    </r>
    <r>
      <rPr>
        <b/>
        <sz val="11"/>
        <rFont val="맑은 고딕"/>
        <family val="3"/>
        <charset val="129"/>
      </rPr>
      <t xml:space="preserve">년 </t>
    </r>
    <r>
      <rPr>
        <b/>
        <sz val="11"/>
        <rFont val="Calibri"/>
        <family val="2"/>
      </rPr>
      <t>10</t>
    </r>
    <r>
      <rPr>
        <b/>
        <sz val="11"/>
        <rFont val="맑은 고딕"/>
        <family val="3"/>
        <charset val="129"/>
      </rPr>
      <t>월연휴</t>
    </r>
    <r>
      <rPr>
        <b/>
        <sz val="11"/>
        <rFont val="맑은 고딕"/>
        <family val="2"/>
        <charset val="129"/>
      </rPr>
      <t>주</t>
    </r>
    <phoneticPr fontId="2" type="noConversion"/>
  </si>
  <si>
    <r>
      <t>2021</t>
    </r>
    <r>
      <rPr>
        <b/>
        <sz val="11"/>
        <rFont val="Arial Unicode MS"/>
        <family val="2"/>
      </rPr>
      <t xml:space="preserve">년합계 </t>
    </r>
    <phoneticPr fontId="2" type="noConversion"/>
  </si>
  <si>
    <r>
      <t>2022</t>
    </r>
    <r>
      <rPr>
        <b/>
        <sz val="11"/>
        <rFont val="맑은 고딕"/>
        <family val="3"/>
        <charset val="129"/>
      </rPr>
      <t xml:space="preserve">년 </t>
    </r>
    <r>
      <rPr>
        <b/>
        <sz val="11"/>
        <rFont val="Calibri"/>
        <family val="2"/>
      </rPr>
      <t>5</t>
    </r>
    <r>
      <rPr>
        <b/>
        <sz val="11"/>
        <rFont val="맑은 고딕"/>
        <family val="3"/>
        <charset val="129"/>
      </rPr>
      <t>월연휴주</t>
    </r>
    <phoneticPr fontId="2" type="noConversion"/>
  </si>
  <si>
    <r>
      <t>2022</t>
    </r>
    <r>
      <rPr>
        <b/>
        <sz val="11"/>
        <rFont val="맑은 고딕"/>
        <family val="3"/>
        <charset val="129"/>
      </rPr>
      <t>년 여름휴가</t>
    </r>
    <phoneticPr fontId="2" type="noConversion"/>
  </si>
  <si>
    <r>
      <t>2022</t>
    </r>
    <r>
      <rPr>
        <b/>
        <sz val="11"/>
        <rFont val="맑은 고딕"/>
        <family val="3"/>
        <charset val="129"/>
      </rPr>
      <t xml:space="preserve">년 </t>
    </r>
    <r>
      <rPr>
        <b/>
        <sz val="11"/>
        <rFont val="Calibri"/>
        <family val="2"/>
      </rPr>
      <t>10</t>
    </r>
    <r>
      <rPr>
        <b/>
        <sz val="11"/>
        <rFont val="맑은 고딕"/>
        <family val="3"/>
        <charset val="129"/>
      </rPr>
      <t>월연휴주</t>
    </r>
    <phoneticPr fontId="2" type="noConversion"/>
  </si>
  <si>
    <r>
      <t>2022</t>
    </r>
    <r>
      <rPr>
        <b/>
        <sz val="11"/>
        <rFont val="Arial Unicode MS"/>
        <family val="2"/>
      </rPr>
      <t>년</t>
    </r>
    <r>
      <rPr>
        <b/>
        <sz val="11"/>
        <rFont val="Calibri"/>
        <family val="2"/>
      </rPr>
      <t xml:space="preserve"> </t>
    </r>
    <r>
      <rPr>
        <b/>
        <sz val="11"/>
        <rFont val="Arial Unicode MS"/>
        <family val="2"/>
      </rPr>
      <t>합계</t>
    </r>
    <r>
      <rPr>
        <b/>
        <sz val="11"/>
        <rFont val="Calibri"/>
        <family val="2"/>
      </rPr>
      <t xml:space="preserve"> </t>
    </r>
    <phoneticPr fontId="2" type="noConversion"/>
  </si>
  <si>
    <r>
      <t xml:space="preserve">2021~2022  </t>
    </r>
    <r>
      <rPr>
        <b/>
        <sz val="11"/>
        <rFont val="Arial Unicode MS"/>
        <family val="2"/>
      </rPr>
      <t>합계</t>
    </r>
    <phoneticPr fontId="2" type="noConversion"/>
  </si>
  <si>
    <r>
      <t>2021</t>
    </r>
    <r>
      <rPr>
        <sz val="11"/>
        <rFont val="Arial Unicode MS"/>
        <family val="2"/>
      </rPr>
      <t>년</t>
    </r>
    <phoneticPr fontId="2" type="noConversion"/>
  </si>
  <si>
    <r>
      <t>2022</t>
    </r>
    <r>
      <rPr>
        <b/>
        <sz val="11"/>
        <rFont val="돋움"/>
        <family val="2"/>
        <charset val="129"/>
      </rPr>
      <t>년</t>
    </r>
    <phoneticPr fontId="2" type="noConversion"/>
  </si>
  <si>
    <t>합계</t>
    <phoneticPr fontId="2" type="noConversion"/>
  </si>
  <si>
    <t>성장률</t>
    <phoneticPr fontId="2" type="noConversion"/>
  </si>
  <si>
    <t>연간성장률</t>
    <phoneticPr fontId="2" type="noConversion"/>
  </si>
  <si>
    <t xml:space="preserve">관광지 </t>
    <phoneticPr fontId="2" type="noConversion"/>
  </si>
  <si>
    <t xml:space="preserve">순위 </t>
    <phoneticPr fontId="2" type="noConversion"/>
  </si>
  <si>
    <t>서울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</si>
  <si>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</si>
  <si>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</si>
  <si>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</si>
  <si>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</si>
  <si>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</si>
  <si>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</si>
  <si>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</si>
  <si>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</si>
  <si>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</si>
  <si>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</si>
  <si>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</si>
  <si>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</si>
  <si>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</si>
  <si>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</si>
  <si>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 xml:space="preserve">제주 </t>
    <phoneticPr fontId="2" type="noConversion"/>
  </si>
  <si>
    <r>
      <t>2022</t>
    </r>
    <r>
      <rPr>
        <sz val="11"/>
        <rFont val="Arial Unicode MS"/>
        <family val="2"/>
      </rPr>
      <t>년</t>
    </r>
    <phoneticPr fontId="2" type="noConversion"/>
  </si>
  <si>
    <t>전체합계</t>
    <phoneticPr fontId="2" type="noConversion"/>
  </si>
  <si>
    <t xml:space="preserve">2021~2022년합계 </t>
    <phoneticPr fontId="2" type="noConversion"/>
  </si>
  <si>
    <t>남성</t>
    <phoneticPr fontId="2" type="noConversion"/>
  </si>
  <si>
    <t>여성</t>
    <phoneticPr fontId="2" type="noConversion"/>
  </si>
  <si>
    <t xml:space="preserve">전체합계 </t>
    <phoneticPr fontId="2" type="noConversion"/>
  </si>
  <si>
    <t>2021~2022년합계</t>
    <phoneticPr fontId="2" type="noConversion"/>
  </si>
  <si>
    <r>
      <t>10</t>
    </r>
    <r>
      <rPr>
        <sz val="11"/>
        <rFont val="Arial Unicode MS"/>
        <family val="2"/>
      </rPr>
      <t>대이하</t>
    </r>
    <phoneticPr fontId="2" type="noConversion"/>
  </si>
  <si>
    <r>
      <t>20</t>
    </r>
    <r>
      <rPr>
        <sz val="11"/>
        <rFont val="Arial Unicode MS"/>
        <family val="2"/>
      </rPr>
      <t>대</t>
    </r>
    <phoneticPr fontId="2" type="noConversion"/>
  </si>
  <si>
    <r>
      <t>30</t>
    </r>
    <r>
      <rPr>
        <sz val="11"/>
        <rFont val="Arial Unicode MS"/>
        <family val="2"/>
      </rPr>
      <t>대</t>
    </r>
    <phoneticPr fontId="2" type="noConversion"/>
  </si>
  <si>
    <r>
      <t>40</t>
    </r>
    <r>
      <rPr>
        <sz val="11"/>
        <rFont val="Arial Unicode MS"/>
        <family val="2"/>
      </rPr>
      <t>대</t>
    </r>
    <phoneticPr fontId="2" type="noConversion"/>
  </si>
  <si>
    <r>
      <t>50</t>
    </r>
    <r>
      <rPr>
        <sz val="11"/>
        <rFont val="Arial Unicode MS"/>
        <family val="2"/>
      </rPr>
      <t>대</t>
    </r>
    <phoneticPr fontId="2" type="noConversion"/>
  </si>
  <si>
    <r>
      <t>60</t>
    </r>
    <r>
      <rPr>
        <sz val="11"/>
        <rFont val="Arial Unicode MS"/>
        <family val="2"/>
        <charset val="129"/>
      </rPr>
      <t>대</t>
    </r>
    <phoneticPr fontId="2" type="noConversion"/>
  </si>
  <si>
    <r>
      <t>60</t>
    </r>
    <r>
      <rPr>
        <sz val="11"/>
        <rFont val="Arial Unicode MS"/>
        <family val="2"/>
      </rPr>
      <t>대</t>
    </r>
    <phoneticPr fontId="2" type="noConversion"/>
  </si>
  <si>
    <t/>
  </si>
  <si>
    <t>2021년</t>
    <phoneticPr fontId="2" type="noConversion"/>
  </si>
  <si>
    <t>2022년</t>
    <phoneticPr fontId="2" type="noConversion"/>
  </si>
  <si>
    <t>총합계</t>
    <phoneticPr fontId="2" type="noConversion"/>
  </si>
  <si>
    <t>10대이하</t>
    <phoneticPr fontId="2" type="noConversion"/>
  </si>
  <si>
    <t>70대이상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</si>
  <si>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</si>
  <si>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</si>
  <si>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</si>
  <si>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</si>
  <si>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</si>
  <si>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</si>
  <si>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</si>
  <si>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r>
      <t>2021</t>
    </r>
    <r>
      <rPr>
        <sz val="11"/>
        <rFont val="Arial Unicode MS"/>
        <family val="2"/>
        <charset val="129"/>
      </rPr>
      <t>년</t>
    </r>
    <phoneticPr fontId="2" type="noConversion"/>
  </si>
  <si>
    <t>2021~2022년 합계</t>
    <phoneticPr fontId="2" type="noConversion"/>
  </si>
  <si>
    <r>
      <rPr>
        <b/>
        <sz val="11"/>
        <rFont val="맑은 고딕"/>
        <family val="3"/>
        <charset val="129"/>
      </rPr>
      <t>주말(토일)집중도</t>
    </r>
    <r>
      <rPr>
        <b/>
        <sz val="11"/>
        <rFont val="Arial Unicode MS"/>
        <family val="2"/>
      </rPr>
      <t xml:space="preserve"> </t>
    </r>
    <phoneticPr fontId="2" type="noConversion"/>
  </si>
  <si>
    <r>
      <t>00</t>
    </r>
    <r>
      <rPr>
        <sz val="11"/>
        <rFont val="Arial Unicode MS"/>
        <family val="2"/>
        <charset val="129"/>
      </rPr>
      <t>시</t>
    </r>
    <r>
      <rPr>
        <sz val="11"/>
        <rFont val="Calibri"/>
        <family val="2"/>
      </rPr>
      <t>~03</t>
    </r>
    <r>
      <rPr>
        <sz val="11"/>
        <rFont val="맑은 고딕"/>
        <family val="3"/>
        <charset val="129"/>
      </rPr>
      <t>시</t>
    </r>
    <phoneticPr fontId="2" type="noConversion"/>
  </si>
  <si>
    <r>
      <t>04~07</t>
    </r>
    <r>
      <rPr>
        <sz val="11"/>
        <rFont val="Arial Unicode MS"/>
        <family val="2"/>
      </rPr>
      <t>시</t>
    </r>
    <phoneticPr fontId="2" type="noConversion"/>
  </si>
  <si>
    <r>
      <t>08~11</t>
    </r>
    <r>
      <rPr>
        <sz val="11"/>
        <rFont val="Arial Unicode MS"/>
        <family val="2"/>
      </rPr>
      <t>시</t>
    </r>
    <phoneticPr fontId="2" type="noConversion"/>
  </si>
  <si>
    <r>
      <t>12</t>
    </r>
    <r>
      <rPr>
        <sz val="11"/>
        <rFont val="Arial Unicode MS"/>
        <family val="2"/>
      </rPr>
      <t>시</t>
    </r>
    <r>
      <rPr>
        <sz val="11"/>
        <rFont val="Calibri"/>
        <family val="2"/>
      </rPr>
      <t>~15</t>
    </r>
    <r>
      <rPr>
        <sz val="11"/>
        <rFont val="Arial Unicode MS"/>
        <family val="2"/>
      </rPr>
      <t>시</t>
    </r>
    <phoneticPr fontId="2" type="noConversion"/>
  </si>
  <si>
    <r>
      <t>16</t>
    </r>
    <r>
      <rPr>
        <sz val="11"/>
        <rFont val="Arial Unicode MS"/>
        <family val="2"/>
      </rPr>
      <t>시</t>
    </r>
    <r>
      <rPr>
        <sz val="11"/>
        <rFont val="Calibri"/>
        <family val="2"/>
      </rPr>
      <t>~19</t>
    </r>
    <r>
      <rPr>
        <sz val="11"/>
        <rFont val="Arial Unicode MS"/>
        <family val="2"/>
      </rPr>
      <t>시</t>
    </r>
    <phoneticPr fontId="2" type="noConversion"/>
  </si>
  <si>
    <r>
      <t>20</t>
    </r>
    <r>
      <rPr>
        <sz val="11"/>
        <rFont val="Arial Unicode MS"/>
        <family val="2"/>
      </rPr>
      <t>시</t>
    </r>
    <r>
      <rPr>
        <sz val="11"/>
        <rFont val="Calibri"/>
        <family val="2"/>
      </rPr>
      <t>~23</t>
    </r>
    <r>
      <rPr>
        <sz val="11"/>
        <rFont val="Arial Unicode MS"/>
        <family val="2"/>
      </rPr>
      <t>시</t>
    </r>
    <phoneticPr fontId="2" type="noConversion"/>
  </si>
  <si>
    <t>서울, 인천, 경기</t>
    <phoneticPr fontId="2" type="noConversion"/>
  </si>
  <si>
    <t>울산, 경남</t>
    <phoneticPr fontId="2" type="noConversion"/>
  </si>
  <si>
    <t>2021년</t>
    <phoneticPr fontId="2" type="noConversion"/>
  </si>
  <si>
    <t>2022년</t>
    <phoneticPr fontId="2" type="noConversion"/>
  </si>
  <si>
    <t>증감률</t>
    <phoneticPr fontId="2" type="noConversion"/>
  </si>
  <si>
    <t>구성비</t>
    <phoneticPr fontId="2" type="noConversion"/>
  </si>
  <si>
    <t>20대~30대</t>
    <phoneticPr fontId="2" type="noConversion"/>
  </si>
  <si>
    <t>구</t>
    <phoneticPr fontId="2" type="noConversion"/>
  </si>
  <si>
    <t>부산진구</t>
    <phoneticPr fontId="2" type="noConversion"/>
  </si>
  <si>
    <r>
      <rPr>
        <sz val="11"/>
        <rFont val="맑은 고딕"/>
        <family val="3"/>
        <charset val="129"/>
      </rPr>
      <t>해운대</t>
    </r>
    <r>
      <rPr>
        <sz val="11"/>
        <rFont val="돋움"/>
        <family val="3"/>
        <charset val="129"/>
      </rPr>
      <t>구</t>
    </r>
    <phoneticPr fontId="2" type="noConversion"/>
  </si>
  <si>
    <t>해운대구</t>
    <phoneticPr fontId="2" type="noConversion"/>
  </si>
  <si>
    <t>수영구</t>
    <phoneticPr fontId="2" type="noConversion"/>
  </si>
  <si>
    <t>중구</t>
    <phoneticPr fontId="2" type="noConversion"/>
  </si>
  <si>
    <t>기장군</t>
    <phoneticPr fontId="2" type="noConversion"/>
  </si>
  <si>
    <t>강서구</t>
    <phoneticPr fontId="2" type="noConversion"/>
  </si>
  <si>
    <t>서구</t>
    <phoneticPr fontId="2" type="noConversion"/>
  </si>
  <si>
    <t>동구</t>
    <phoneticPr fontId="2" type="noConversion"/>
  </si>
  <si>
    <t>사하구</t>
    <phoneticPr fontId="2" type="noConversion"/>
  </si>
  <si>
    <t>동래구</t>
    <phoneticPr fontId="2" type="noConversion"/>
  </si>
  <si>
    <t>남구</t>
    <phoneticPr fontId="2" type="noConversion"/>
  </si>
  <si>
    <t>영도구</t>
    <phoneticPr fontId="2" type="noConversion"/>
  </si>
  <si>
    <t>금정구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</si>
</sst>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4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Arial Unicode MS"/>
      <family val="2"/>
    </font>
    <font>
      <b/>
      <sz val="11"/>
      <name val="Arial Unicode MS"/>
      <family val="2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b/>
      <sz val="11"/>
      <name val="맑은 고딕"/>
      <family val="2"/>
      <charset val="129"/>
    </font>
    <font>
      <b/>
      <sz val="11"/>
      <name val="돋움"/>
      <family val="2"/>
      <charset val="129"/>
    </font>
    <font>
      <sz val="11"/>
      <name val="맑은 고딕"/>
      <family val="3"/>
      <charset val="129"/>
    </font>
    <font>
      <sz val="11"/>
      <name val="Arial Unicode MS"/>
      <family val="2"/>
      <charset val="129"/>
    </font>
    <font>
      <b/>
      <sz val="11"/>
      <name val="Arial Unicode MS"/>
      <family val="3"/>
      <charset val="129"/>
    </font>
    <font>
      <sz val="11"/>
      <name val="돋움"/>
      <family val="3"/>
      <charset val="129"/>
    </font>
    <font>
      <sz val="11"/>
      <name val="Calibri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41" fontId="0" fillId="0" borderId="0" xfId="1" applyFont="1" applyAlignment="1"/>
    <xf numFmtId="41" fontId="0" fillId="0" borderId="0" xfId="1" applyFont="1" applyFill="1" applyAlignment="1"/>
    <xf numFmtId="0" fontId="0" fillId="2" borderId="0" xfId="0" applyFill="1"/>
    <xf numFmtId="41" fontId="0" fillId="2" borderId="0" xfId="1" applyFont="1" applyFill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6" fontId="0" fillId="0" borderId="0" xfId="2" applyNumberFormat="1" applyFont="1" applyAlignment="1"/>
    <xf numFmtId="0" fontId="4" fillId="3" borderId="0" xfId="0" applyFont="1" applyFill="1" applyAlignment="1">
      <alignment horizontal="center"/>
    </xf>
    <xf numFmtId="176" fontId="0" fillId="2" borderId="0" xfId="2" applyNumberFormat="1" applyFont="1" applyFill="1" applyAlignment="1"/>
    <xf numFmtId="0" fontId="5" fillId="3" borderId="0" xfId="0" applyFont="1" applyFill="1" applyAlignment="1">
      <alignment horizontal="center"/>
    </xf>
    <xf numFmtId="41" fontId="1" fillId="2" borderId="0" xfId="1" quotePrefix="1" applyFont="1" applyFill="1" applyAlignment="1"/>
    <xf numFmtId="0" fontId="11" fillId="0" borderId="0" xfId="0" applyFont="1" applyAlignment="1">
      <alignment horizontal="center"/>
    </xf>
    <xf numFmtId="41" fontId="0" fillId="4" borderId="0" xfId="1" applyFont="1" applyFill="1" applyAlignment="1"/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center"/>
    </xf>
    <xf numFmtId="41" fontId="0" fillId="5" borderId="0" xfId="1" applyFont="1" applyFill="1" applyAlignment="1"/>
    <xf numFmtId="0" fontId="0" fillId="5" borderId="0" xfId="0" applyFill="1"/>
    <xf numFmtId="41" fontId="0" fillId="0" borderId="0" xfId="0" applyNumberFormat="1"/>
    <xf numFmtId="176" fontId="0" fillId="0" borderId="0" xfId="2" applyNumberFormat="1" applyFont="1" applyFill="1" applyAlignment="1"/>
    <xf numFmtId="41" fontId="0" fillId="2" borderId="0" xfId="0" applyNumberFormat="1" applyFill="1"/>
    <xf numFmtId="0" fontId="4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13" fillId="2" borderId="0" xfId="0" applyFont="1" applyFill="1"/>
    <xf numFmtId="0" fontId="9" fillId="2" borderId="0" xfId="0" applyFont="1" applyFill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workbookViewId="0">
      <selection activeCell="A48" sqref="A48:XFD48"/>
    </sheetView>
  </sheetViews>
  <sheetFormatPr defaultColWidth="20.5546875" defaultRowHeight="14.4"/>
  <cols>
    <col min="1" max="1" width="5.33203125" bestFit="1" customWidth="1"/>
    <col min="2" max="2" width="23.33203125" bestFit="1" customWidth="1"/>
    <col min="3" max="3" width="17.5546875" bestFit="1" customWidth="1"/>
    <col min="4" max="4" width="16.44140625" bestFit="1" customWidth="1"/>
    <col min="5" max="5" width="18.5546875" bestFit="1" customWidth="1"/>
    <col min="6" max="6" width="11.44140625" bestFit="1" customWidth="1"/>
    <col min="7" max="7" width="17.5546875" bestFit="1" customWidth="1"/>
    <col min="8" max="8" width="16.44140625" bestFit="1" customWidth="1"/>
    <col min="9" max="9" width="18.5546875" bestFit="1" customWidth="1"/>
    <col min="10" max="10" width="11.88671875" bestFit="1" customWidth="1"/>
    <col min="11" max="11" width="15.5546875" bestFit="1" customWidth="1"/>
    <col min="12" max="12" width="11.44140625" bestFit="1" customWidth="1"/>
  </cols>
  <sheetData>
    <row r="1" spans="1:12" ht="15">
      <c r="C1" s="25" t="s">
        <v>61</v>
      </c>
      <c r="D1" s="25"/>
      <c r="E1" s="25"/>
      <c r="F1" s="25"/>
      <c r="G1" s="25" t="s">
        <v>62</v>
      </c>
      <c r="H1" s="25"/>
      <c r="I1" s="25"/>
      <c r="J1" s="25"/>
      <c r="K1" s="6" t="s">
        <v>63</v>
      </c>
      <c r="L1" s="6" t="s">
        <v>65</v>
      </c>
    </row>
    <row r="2" spans="1:12" s="5" customFormat="1" ht="17.399999999999999">
      <c r="A2" s="7" t="s">
        <v>51</v>
      </c>
      <c r="B2" s="7" t="s">
        <v>50</v>
      </c>
      <c r="C2" s="6" t="s">
        <v>52</v>
      </c>
      <c r="D2" s="6" t="s">
        <v>53</v>
      </c>
      <c r="E2" s="6" t="s">
        <v>54</v>
      </c>
      <c r="F2" s="12" t="s">
        <v>55</v>
      </c>
      <c r="G2" s="6" t="s">
        <v>56</v>
      </c>
      <c r="H2" s="6" t="s">
        <v>57</v>
      </c>
      <c r="I2" s="6" t="s">
        <v>58</v>
      </c>
      <c r="J2" s="12" t="s">
        <v>59</v>
      </c>
      <c r="K2" s="12" t="s">
        <v>60</v>
      </c>
      <c r="L2" s="8" t="s">
        <v>64</v>
      </c>
    </row>
    <row r="3" spans="1:12">
      <c r="A3" s="5">
        <v>1</v>
      </c>
      <c r="B3" t="s">
        <v>1</v>
      </c>
      <c r="C3" s="1">
        <v>102181</v>
      </c>
      <c r="D3" s="1">
        <v>391690</v>
      </c>
      <c r="E3" s="1">
        <v>121581</v>
      </c>
      <c r="F3" s="1">
        <f t="shared" ref="F3:F34" si="0">SUM(C3:E3)</f>
        <v>615452</v>
      </c>
      <c r="G3" s="1">
        <v>171570</v>
      </c>
      <c r="H3" s="1">
        <v>770831</v>
      </c>
      <c r="I3" s="1">
        <v>183666</v>
      </c>
      <c r="J3" s="1">
        <f t="shared" ref="J3:J34" si="1">SUM(G3:I3)</f>
        <v>1126067</v>
      </c>
      <c r="K3" s="1">
        <f t="shared" ref="K3:K34" si="2">J3+F3</f>
        <v>1741519</v>
      </c>
      <c r="L3" s="9">
        <f t="shared" ref="L3:L34" si="3">(J3-F3)/F3</f>
        <v>0.82965852739125068</v>
      </c>
    </row>
    <row r="4" spans="1:12">
      <c r="A4" s="5">
        <v>2</v>
      </c>
      <c r="B4" s="3" t="s">
        <v>33</v>
      </c>
      <c r="C4" s="4">
        <v>99122</v>
      </c>
      <c r="D4" s="4">
        <v>318484</v>
      </c>
      <c r="E4" s="4">
        <v>78910</v>
      </c>
      <c r="F4" s="4">
        <f t="shared" si="0"/>
        <v>496516</v>
      </c>
      <c r="G4" s="4">
        <v>116112</v>
      </c>
      <c r="H4" s="4">
        <v>733173</v>
      </c>
      <c r="I4" s="4">
        <v>133334</v>
      </c>
      <c r="J4" s="4">
        <f t="shared" si="1"/>
        <v>982619</v>
      </c>
      <c r="K4" s="4">
        <f t="shared" si="2"/>
        <v>1479135</v>
      </c>
      <c r="L4" s="11">
        <f t="shared" si="3"/>
        <v>0.97902786617148285</v>
      </c>
    </row>
    <row r="5" spans="1:12">
      <c r="A5" s="5">
        <v>3</v>
      </c>
      <c r="B5" t="s">
        <v>17</v>
      </c>
      <c r="C5" s="1">
        <v>87167</v>
      </c>
      <c r="D5" s="1">
        <v>282067</v>
      </c>
      <c r="E5" s="1">
        <v>72619</v>
      </c>
      <c r="F5" s="1">
        <f t="shared" si="0"/>
        <v>441853</v>
      </c>
      <c r="G5" s="1">
        <v>109633</v>
      </c>
      <c r="H5" s="1">
        <v>594134</v>
      </c>
      <c r="I5" s="1">
        <v>104151</v>
      </c>
      <c r="J5" s="1">
        <f t="shared" si="1"/>
        <v>807918</v>
      </c>
      <c r="K5" s="1">
        <f t="shared" si="2"/>
        <v>1249771</v>
      </c>
      <c r="L5" s="9">
        <f t="shared" si="3"/>
        <v>0.8284768916359061</v>
      </c>
    </row>
    <row r="6" spans="1:12">
      <c r="A6" s="5">
        <v>4</v>
      </c>
      <c r="B6" t="s">
        <v>23</v>
      </c>
      <c r="C6" s="1">
        <v>78274</v>
      </c>
      <c r="D6" s="1">
        <v>192505</v>
      </c>
      <c r="E6" s="1">
        <v>64372</v>
      </c>
      <c r="F6" s="1">
        <f t="shared" si="0"/>
        <v>335151</v>
      </c>
      <c r="G6" s="1">
        <v>95229</v>
      </c>
      <c r="H6" s="1">
        <v>437337</v>
      </c>
      <c r="I6" s="1">
        <v>120247</v>
      </c>
      <c r="J6" s="1">
        <f t="shared" si="1"/>
        <v>652813</v>
      </c>
      <c r="K6" s="1">
        <f t="shared" si="2"/>
        <v>987964</v>
      </c>
      <c r="L6" s="9">
        <f t="shared" si="3"/>
        <v>0.94781755089496977</v>
      </c>
    </row>
    <row r="7" spans="1:12">
      <c r="A7" s="5">
        <v>5</v>
      </c>
      <c r="B7" t="s">
        <v>16</v>
      </c>
      <c r="C7" s="1">
        <v>40118</v>
      </c>
      <c r="D7" s="1">
        <v>140943</v>
      </c>
      <c r="E7" s="1">
        <v>41016</v>
      </c>
      <c r="F7" s="1">
        <f t="shared" si="0"/>
        <v>222077</v>
      </c>
      <c r="G7" s="1">
        <v>66866</v>
      </c>
      <c r="H7" s="1">
        <v>335142</v>
      </c>
      <c r="I7" s="1">
        <v>69612</v>
      </c>
      <c r="J7" s="1">
        <f t="shared" si="1"/>
        <v>471620</v>
      </c>
      <c r="K7" s="1">
        <f t="shared" si="2"/>
        <v>693697</v>
      </c>
      <c r="L7" s="9">
        <f t="shared" si="3"/>
        <v>1.1236778234576295</v>
      </c>
    </row>
    <row r="8" spans="1:12">
      <c r="A8" s="5">
        <v>6</v>
      </c>
      <c r="B8" t="s">
        <v>21</v>
      </c>
      <c r="C8" s="1">
        <v>20271</v>
      </c>
      <c r="D8" s="1">
        <v>93045</v>
      </c>
      <c r="E8" s="1">
        <v>37041</v>
      </c>
      <c r="F8" s="1">
        <f t="shared" si="0"/>
        <v>150357</v>
      </c>
      <c r="G8" s="1">
        <v>54931</v>
      </c>
      <c r="H8" s="1">
        <v>257099</v>
      </c>
      <c r="I8" s="1">
        <v>68756</v>
      </c>
      <c r="J8" s="1">
        <f t="shared" si="1"/>
        <v>380786</v>
      </c>
      <c r="K8" s="1">
        <f t="shared" si="2"/>
        <v>531143</v>
      </c>
      <c r="L8" s="9">
        <f t="shared" si="3"/>
        <v>1.5325458741528495</v>
      </c>
    </row>
    <row r="9" spans="1:12">
      <c r="A9" s="5">
        <v>7</v>
      </c>
      <c r="B9" s="3" t="s">
        <v>26</v>
      </c>
      <c r="C9" s="4">
        <v>20982</v>
      </c>
      <c r="D9" s="4">
        <v>61666</v>
      </c>
      <c r="E9" s="4">
        <v>24877</v>
      </c>
      <c r="F9" s="4">
        <f t="shared" si="0"/>
        <v>107525</v>
      </c>
      <c r="G9" s="4">
        <v>37627</v>
      </c>
      <c r="H9" s="4">
        <v>138335</v>
      </c>
      <c r="I9" s="4">
        <v>42315</v>
      </c>
      <c r="J9" s="4">
        <f t="shared" si="1"/>
        <v>218277</v>
      </c>
      <c r="K9" s="4">
        <f t="shared" si="2"/>
        <v>325802</v>
      </c>
      <c r="L9" s="11">
        <f t="shared" si="3"/>
        <v>1.030011625203441</v>
      </c>
    </row>
    <row r="10" spans="1:12">
      <c r="A10" s="5">
        <v>8</v>
      </c>
      <c r="B10" s="3" t="s">
        <v>7</v>
      </c>
      <c r="C10" s="4">
        <v>19371</v>
      </c>
      <c r="D10" s="4">
        <v>66562</v>
      </c>
      <c r="E10" s="4">
        <v>21548</v>
      </c>
      <c r="F10" s="4">
        <f t="shared" si="0"/>
        <v>107481</v>
      </c>
      <c r="G10" s="4">
        <v>15368</v>
      </c>
      <c r="H10" s="4">
        <v>62347</v>
      </c>
      <c r="I10" s="4">
        <v>34037</v>
      </c>
      <c r="J10" s="4">
        <f t="shared" si="1"/>
        <v>111752</v>
      </c>
      <c r="K10" s="4">
        <f t="shared" si="2"/>
        <v>219233</v>
      </c>
      <c r="L10" s="11">
        <f t="shared" si="3"/>
        <v>3.9737255887087021E-2</v>
      </c>
    </row>
    <row r="11" spans="1:12">
      <c r="A11" s="5">
        <v>9</v>
      </c>
      <c r="B11" s="3" t="s">
        <v>29</v>
      </c>
      <c r="C11" s="4">
        <v>19824</v>
      </c>
      <c r="D11" s="4">
        <v>46508</v>
      </c>
      <c r="E11" s="4">
        <v>12759</v>
      </c>
      <c r="F11" s="4">
        <f t="shared" si="0"/>
        <v>79091</v>
      </c>
      <c r="G11" s="4">
        <v>19302</v>
      </c>
      <c r="H11" s="4">
        <v>62158</v>
      </c>
      <c r="I11" s="4">
        <v>16069</v>
      </c>
      <c r="J11" s="4">
        <f t="shared" si="1"/>
        <v>97529</v>
      </c>
      <c r="K11" s="4">
        <f t="shared" si="2"/>
        <v>176620</v>
      </c>
      <c r="L11" s="11">
        <f t="shared" si="3"/>
        <v>0.23312386997256326</v>
      </c>
    </row>
    <row r="12" spans="1:12">
      <c r="A12" s="5">
        <v>10</v>
      </c>
      <c r="B12" t="s">
        <v>13</v>
      </c>
      <c r="C12" s="1">
        <v>11406</v>
      </c>
      <c r="D12" s="1">
        <v>38615</v>
      </c>
      <c r="E12" s="1">
        <v>9755</v>
      </c>
      <c r="F12" s="1">
        <f t="shared" si="0"/>
        <v>59776</v>
      </c>
      <c r="G12" s="1">
        <v>15490</v>
      </c>
      <c r="H12" s="1">
        <v>78123</v>
      </c>
      <c r="I12" s="1">
        <v>13859</v>
      </c>
      <c r="J12" s="1">
        <f t="shared" si="1"/>
        <v>107472</v>
      </c>
      <c r="K12" s="1">
        <f t="shared" si="2"/>
        <v>167248</v>
      </c>
      <c r="L12" s="9">
        <f t="shared" si="3"/>
        <v>0.79791220556745179</v>
      </c>
    </row>
    <row r="13" spans="1:12">
      <c r="A13" s="5">
        <v>11</v>
      </c>
      <c r="B13" t="s">
        <v>5</v>
      </c>
      <c r="C13" s="1">
        <v>7326</v>
      </c>
      <c r="D13" s="1">
        <v>24317</v>
      </c>
      <c r="E13" s="1">
        <v>8572</v>
      </c>
      <c r="F13" s="1">
        <f t="shared" si="0"/>
        <v>40215</v>
      </c>
      <c r="G13" s="1">
        <v>11602</v>
      </c>
      <c r="H13" s="1">
        <v>65361</v>
      </c>
      <c r="I13" s="1">
        <v>13079</v>
      </c>
      <c r="J13" s="1">
        <f t="shared" si="1"/>
        <v>90042</v>
      </c>
      <c r="K13" s="1">
        <f t="shared" si="2"/>
        <v>130257</v>
      </c>
      <c r="L13" s="9">
        <f t="shared" si="3"/>
        <v>1.2390152928011935</v>
      </c>
    </row>
    <row r="14" spans="1:12">
      <c r="A14" s="5">
        <v>12</v>
      </c>
      <c r="B14" t="s">
        <v>22</v>
      </c>
      <c r="C14" s="1">
        <v>8087</v>
      </c>
      <c r="D14" s="1">
        <v>27248</v>
      </c>
      <c r="E14" s="1">
        <v>5805</v>
      </c>
      <c r="F14" s="1">
        <f t="shared" si="0"/>
        <v>41140</v>
      </c>
      <c r="G14" s="1">
        <v>9499</v>
      </c>
      <c r="H14" s="1">
        <v>42484</v>
      </c>
      <c r="I14" s="1">
        <v>10180</v>
      </c>
      <c r="J14" s="1">
        <f t="shared" si="1"/>
        <v>62163</v>
      </c>
      <c r="K14" s="1">
        <f t="shared" si="2"/>
        <v>103303</v>
      </c>
      <c r="L14" s="9">
        <f t="shared" si="3"/>
        <v>0.51101118133203693</v>
      </c>
    </row>
    <row r="15" spans="1:12">
      <c r="A15" s="5">
        <v>13</v>
      </c>
      <c r="B15" t="s">
        <v>48</v>
      </c>
      <c r="C15" s="1">
        <v>4440</v>
      </c>
      <c r="D15" s="1">
        <v>17111</v>
      </c>
      <c r="E15" s="1">
        <v>7055</v>
      </c>
      <c r="F15" s="1">
        <f t="shared" si="0"/>
        <v>28606</v>
      </c>
      <c r="G15" s="1">
        <v>11360</v>
      </c>
      <c r="H15" s="1">
        <v>47399</v>
      </c>
      <c r="I15" s="1">
        <v>14154</v>
      </c>
      <c r="J15" s="1">
        <f t="shared" si="1"/>
        <v>72913</v>
      </c>
      <c r="K15" s="1">
        <f t="shared" si="2"/>
        <v>101519</v>
      </c>
      <c r="L15" s="9">
        <f t="shared" si="3"/>
        <v>1.5488708662518353</v>
      </c>
    </row>
    <row r="16" spans="1:12">
      <c r="A16" s="5">
        <v>14</v>
      </c>
      <c r="B16" s="3" t="s">
        <v>44</v>
      </c>
      <c r="C16" s="4">
        <v>8817</v>
      </c>
      <c r="D16" s="4">
        <v>24149</v>
      </c>
      <c r="E16" s="4">
        <v>8934</v>
      </c>
      <c r="F16" s="4">
        <f t="shared" si="0"/>
        <v>41900</v>
      </c>
      <c r="G16" s="4">
        <v>8724</v>
      </c>
      <c r="H16" s="4">
        <v>31048</v>
      </c>
      <c r="I16" s="4">
        <v>9901</v>
      </c>
      <c r="J16" s="4">
        <f t="shared" si="1"/>
        <v>49673</v>
      </c>
      <c r="K16" s="4">
        <f t="shared" si="2"/>
        <v>91573</v>
      </c>
      <c r="L16" s="11">
        <f t="shared" si="3"/>
        <v>0.18551312649164678</v>
      </c>
    </row>
    <row r="17" spans="1:12">
      <c r="A17" s="5">
        <v>15</v>
      </c>
      <c r="B17" t="s">
        <v>3</v>
      </c>
      <c r="C17" s="1">
        <v>5726</v>
      </c>
      <c r="D17" s="1">
        <v>21144</v>
      </c>
      <c r="E17" s="1">
        <v>5619</v>
      </c>
      <c r="F17" s="1">
        <f t="shared" si="0"/>
        <v>32489</v>
      </c>
      <c r="G17" s="1">
        <v>6237</v>
      </c>
      <c r="H17" s="1">
        <v>43492</v>
      </c>
      <c r="I17" s="1">
        <v>6354</v>
      </c>
      <c r="J17" s="1">
        <f t="shared" si="1"/>
        <v>56083</v>
      </c>
      <c r="K17" s="1">
        <f t="shared" si="2"/>
        <v>88572</v>
      </c>
      <c r="L17" s="9">
        <f t="shared" si="3"/>
        <v>0.72621502662439597</v>
      </c>
    </row>
    <row r="18" spans="1:12">
      <c r="A18" s="5">
        <v>16</v>
      </c>
      <c r="B18" s="3" t="s">
        <v>18</v>
      </c>
      <c r="C18" s="4">
        <v>5345</v>
      </c>
      <c r="D18" s="4">
        <v>16342</v>
      </c>
      <c r="E18" s="4">
        <v>5333</v>
      </c>
      <c r="F18" s="4">
        <f t="shared" si="0"/>
        <v>27020</v>
      </c>
      <c r="G18" s="4">
        <v>7346</v>
      </c>
      <c r="H18" s="4">
        <v>39632</v>
      </c>
      <c r="I18" s="4">
        <v>9270</v>
      </c>
      <c r="J18" s="4">
        <f t="shared" si="1"/>
        <v>56248</v>
      </c>
      <c r="K18" s="4">
        <f t="shared" si="2"/>
        <v>83268</v>
      </c>
      <c r="L18" s="11">
        <f t="shared" si="3"/>
        <v>1.0817172464840858</v>
      </c>
    </row>
    <row r="19" spans="1:12">
      <c r="A19" s="5">
        <v>17</v>
      </c>
      <c r="B19" t="s">
        <v>4</v>
      </c>
      <c r="C19" s="1">
        <v>3578</v>
      </c>
      <c r="D19" s="1">
        <v>17186</v>
      </c>
      <c r="E19" s="1">
        <v>4401</v>
      </c>
      <c r="F19" s="1">
        <f t="shared" si="0"/>
        <v>25165</v>
      </c>
      <c r="G19" s="1">
        <v>6149</v>
      </c>
      <c r="H19" s="1">
        <v>37520</v>
      </c>
      <c r="I19" s="1">
        <v>6021</v>
      </c>
      <c r="J19" s="1">
        <f t="shared" si="1"/>
        <v>49690</v>
      </c>
      <c r="K19" s="1">
        <f t="shared" si="2"/>
        <v>74855</v>
      </c>
      <c r="L19" s="9">
        <f t="shared" si="3"/>
        <v>0.97456785217564079</v>
      </c>
    </row>
    <row r="20" spans="1:12">
      <c r="A20" s="5">
        <v>18</v>
      </c>
      <c r="B20" t="s">
        <v>41</v>
      </c>
      <c r="C20" s="1">
        <v>6876</v>
      </c>
      <c r="D20" s="1">
        <v>17588</v>
      </c>
      <c r="E20" s="1">
        <v>6373</v>
      </c>
      <c r="F20" s="1">
        <f t="shared" si="0"/>
        <v>30837</v>
      </c>
      <c r="G20" s="1">
        <v>7287</v>
      </c>
      <c r="H20" s="1">
        <v>27422</v>
      </c>
      <c r="I20" s="1">
        <v>7040</v>
      </c>
      <c r="J20" s="1">
        <f t="shared" si="1"/>
        <v>41749</v>
      </c>
      <c r="K20" s="1">
        <f t="shared" si="2"/>
        <v>72586</v>
      </c>
      <c r="L20" s="9">
        <f t="shared" si="3"/>
        <v>0.35386062198008883</v>
      </c>
    </row>
    <row r="21" spans="1:12">
      <c r="A21" s="5">
        <v>19</v>
      </c>
      <c r="B21" t="s">
        <v>30</v>
      </c>
      <c r="C21" s="1">
        <v>5214</v>
      </c>
      <c r="D21" s="1">
        <v>13999</v>
      </c>
      <c r="E21" s="1">
        <v>3797</v>
      </c>
      <c r="F21" s="1">
        <f t="shared" si="0"/>
        <v>23010</v>
      </c>
      <c r="G21" s="1">
        <v>6893</v>
      </c>
      <c r="H21" s="1">
        <v>31076</v>
      </c>
      <c r="I21" s="1">
        <v>6259</v>
      </c>
      <c r="J21" s="1">
        <f t="shared" si="1"/>
        <v>44228</v>
      </c>
      <c r="K21" s="1">
        <f t="shared" si="2"/>
        <v>67238</v>
      </c>
      <c r="L21" s="9">
        <f t="shared" si="3"/>
        <v>0.92212081703607129</v>
      </c>
    </row>
    <row r="22" spans="1:12">
      <c r="A22" s="5">
        <v>20</v>
      </c>
      <c r="B22" t="s">
        <v>10</v>
      </c>
      <c r="C22" s="1">
        <v>4196</v>
      </c>
      <c r="D22" s="1">
        <v>14942</v>
      </c>
      <c r="E22" s="1">
        <v>5251</v>
      </c>
      <c r="F22" s="1">
        <f t="shared" si="0"/>
        <v>24389</v>
      </c>
      <c r="G22" s="1">
        <v>6007</v>
      </c>
      <c r="H22" s="1">
        <v>23965</v>
      </c>
      <c r="I22" s="1">
        <v>6831</v>
      </c>
      <c r="J22" s="1">
        <f t="shared" si="1"/>
        <v>36803</v>
      </c>
      <c r="K22" s="1">
        <f t="shared" si="2"/>
        <v>61192</v>
      </c>
      <c r="L22" s="9">
        <f t="shared" si="3"/>
        <v>0.50899995899790884</v>
      </c>
    </row>
    <row r="23" spans="1:12">
      <c r="A23" s="5">
        <v>21</v>
      </c>
      <c r="B23" t="s">
        <v>6</v>
      </c>
      <c r="C23" s="1">
        <v>5236</v>
      </c>
      <c r="D23" s="1">
        <v>15716</v>
      </c>
      <c r="E23" s="1">
        <v>4699</v>
      </c>
      <c r="F23" s="1">
        <f t="shared" si="0"/>
        <v>25651</v>
      </c>
      <c r="G23" s="1">
        <v>3550</v>
      </c>
      <c r="H23" s="1">
        <v>19212</v>
      </c>
      <c r="I23" s="1">
        <v>4124</v>
      </c>
      <c r="J23" s="1">
        <f t="shared" si="1"/>
        <v>26886</v>
      </c>
      <c r="K23" s="1">
        <f t="shared" si="2"/>
        <v>52537</v>
      </c>
      <c r="L23" s="9">
        <f t="shared" si="3"/>
        <v>4.8146271100541892E-2</v>
      </c>
    </row>
    <row r="24" spans="1:12">
      <c r="A24" s="5">
        <v>22</v>
      </c>
      <c r="B24" t="s">
        <v>35</v>
      </c>
      <c r="C24" s="1">
        <v>4944</v>
      </c>
      <c r="D24" s="1">
        <v>13433</v>
      </c>
      <c r="E24" s="1">
        <v>3684</v>
      </c>
      <c r="F24" s="1">
        <f t="shared" si="0"/>
        <v>22061</v>
      </c>
      <c r="G24" s="1">
        <v>4528</v>
      </c>
      <c r="H24" s="1">
        <v>16622</v>
      </c>
      <c r="I24" s="1">
        <v>5320</v>
      </c>
      <c r="J24" s="1">
        <f t="shared" si="1"/>
        <v>26470</v>
      </c>
      <c r="K24" s="1">
        <f t="shared" si="2"/>
        <v>48531</v>
      </c>
      <c r="L24" s="9">
        <f t="shared" si="3"/>
        <v>0.19985494764516568</v>
      </c>
    </row>
    <row r="25" spans="1:12">
      <c r="A25" s="5">
        <v>23</v>
      </c>
      <c r="B25" t="s">
        <v>45</v>
      </c>
      <c r="C25" s="1">
        <v>3720</v>
      </c>
      <c r="D25" s="1">
        <v>14751</v>
      </c>
      <c r="E25" s="1">
        <v>3755</v>
      </c>
      <c r="F25" s="1">
        <f t="shared" si="0"/>
        <v>22226</v>
      </c>
      <c r="G25" s="1">
        <v>4000</v>
      </c>
      <c r="H25" s="1">
        <v>17992</v>
      </c>
      <c r="I25" s="1">
        <v>3480</v>
      </c>
      <c r="J25" s="1">
        <f t="shared" si="1"/>
        <v>25472</v>
      </c>
      <c r="K25" s="1">
        <f t="shared" si="2"/>
        <v>47698</v>
      </c>
      <c r="L25" s="9">
        <f t="shared" si="3"/>
        <v>0.14604517232070549</v>
      </c>
    </row>
    <row r="26" spans="1:12">
      <c r="A26" s="5">
        <v>24</v>
      </c>
      <c r="B26" s="3" t="s">
        <v>20</v>
      </c>
      <c r="C26" s="4">
        <v>4083</v>
      </c>
      <c r="D26" s="4">
        <v>12376</v>
      </c>
      <c r="E26" s="4">
        <v>3688</v>
      </c>
      <c r="F26" s="4">
        <f t="shared" si="0"/>
        <v>20147</v>
      </c>
      <c r="G26" s="4">
        <v>4405</v>
      </c>
      <c r="H26" s="4">
        <v>16118</v>
      </c>
      <c r="I26" s="4">
        <v>4249</v>
      </c>
      <c r="J26" s="4">
        <f t="shared" si="1"/>
        <v>24772</v>
      </c>
      <c r="K26" s="4">
        <f t="shared" si="2"/>
        <v>44919</v>
      </c>
      <c r="L26" s="11">
        <f t="shared" si="3"/>
        <v>0.22956271405171985</v>
      </c>
    </row>
    <row r="27" spans="1:12">
      <c r="A27" s="5">
        <v>25</v>
      </c>
      <c r="B27" s="3" t="s">
        <v>46</v>
      </c>
      <c r="C27" s="4">
        <v>3537</v>
      </c>
      <c r="D27" s="4">
        <v>7678</v>
      </c>
      <c r="E27" s="4">
        <v>2587</v>
      </c>
      <c r="F27" s="4">
        <f t="shared" si="0"/>
        <v>13802</v>
      </c>
      <c r="G27" s="4">
        <v>3070</v>
      </c>
      <c r="H27" s="4">
        <v>17216</v>
      </c>
      <c r="I27" s="4">
        <v>4014</v>
      </c>
      <c r="J27" s="4">
        <f t="shared" si="1"/>
        <v>24300</v>
      </c>
      <c r="K27" s="4">
        <f t="shared" si="2"/>
        <v>38102</v>
      </c>
      <c r="L27" s="11">
        <f t="shared" si="3"/>
        <v>0.76061440370960731</v>
      </c>
    </row>
    <row r="28" spans="1:12">
      <c r="A28" s="5">
        <v>26</v>
      </c>
      <c r="B28" t="s">
        <v>19</v>
      </c>
      <c r="C28" s="1">
        <v>2639</v>
      </c>
      <c r="D28" s="1">
        <v>10974</v>
      </c>
      <c r="E28" s="1">
        <v>3635</v>
      </c>
      <c r="F28" s="1">
        <f t="shared" si="0"/>
        <v>17248</v>
      </c>
      <c r="G28" s="1">
        <v>4348</v>
      </c>
      <c r="H28" s="1">
        <v>12690</v>
      </c>
      <c r="I28" s="1">
        <v>3348</v>
      </c>
      <c r="J28" s="1">
        <f t="shared" si="1"/>
        <v>20386</v>
      </c>
      <c r="K28" s="1">
        <f t="shared" si="2"/>
        <v>37634</v>
      </c>
      <c r="L28" s="9">
        <f t="shared" si="3"/>
        <v>0.18193413729128013</v>
      </c>
    </row>
    <row r="29" spans="1:12">
      <c r="A29" s="5">
        <v>27</v>
      </c>
      <c r="B29" t="s">
        <v>12</v>
      </c>
      <c r="C29" s="1">
        <v>11472</v>
      </c>
      <c r="D29" s="1">
        <v>7483</v>
      </c>
      <c r="E29" s="1">
        <v>2389</v>
      </c>
      <c r="F29" s="1">
        <f t="shared" si="0"/>
        <v>21344</v>
      </c>
      <c r="G29" s="1">
        <v>1636</v>
      </c>
      <c r="H29" s="1">
        <v>10137</v>
      </c>
      <c r="I29" s="1">
        <v>3467</v>
      </c>
      <c r="J29" s="1">
        <f t="shared" si="1"/>
        <v>15240</v>
      </c>
      <c r="K29" s="1">
        <f t="shared" si="2"/>
        <v>36584</v>
      </c>
      <c r="L29" s="9">
        <f t="shared" si="3"/>
        <v>-0.28598200899550225</v>
      </c>
    </row>
    <row r="30" spans="1:12">
      <c r="A30" s="5">
        <v>28</v>
      </c>
      <c r="B30" s="3" t="s">
        <v>11</v>
      </c>
      <c r="C30" s="4">
        <v>2353</v>
      </c>
      <c r="D30" s="4">
        <v>5835</v>
      </c>
      <c r="E30" s="4">
        <v>1694</v>
      </c>
      <c r="F30" s="4">
        <f t="shared" si="0"/>
        <v>9882</v>
      </c>
      <c r="G30" s="4">
        <v>2757</v>
      </c>
      <c r="H30" s="4">
        <v>15587</v>
      </c>
      <c r="I30" s="4">
        <v>2817</v>
      </c>
      <c r="J30" s="4">
        <f t="shared" si="1"/>
        <v>21161</v>
      </c>
      <c r="K30" s="4">
        <f t="shared" si="2"/>
        <v>31043</v>
      </c>
      <c r="L30" s="11">
        <f t="shared" si="3"/>
        <v>1.1413681441003845</v>
      </c>
    </row>
    <row r="31" spans="1:12">
      <c r="A31" s="5">
        <v>29</v>
      </c>
      <c r="B31" s="3" t="s">
        <v>25</v>
      </c>
      <c r="C31" s="4">
        <v>2235</v>
      </c>
      <c r="D31" s="4">
        <v>6095</v>
      </c>
      <c r="E31" s="4">
        <v>2323</v>
      </c>
      <c r="F31" s="4">
        <f t="shared" si="0"/>
        <v>10653</v>
      </c>
      <c r="G31" s="4">
        <v>2918</v>
      </c>
      <c r="H31" s="4">
        <v>12316</v>
      </c>
      <c r="I31" s="4">
        <v>2301</v>
      </c>
      <c r="J31" s="4">
        <f t="shared" si="1"/>
        <v>17535</v>
      </c>
      <c r="K31" s="4">
        <f t="shared" si="2"/>
        <v>28188</v>
      </c>
      <c r="L31" s="11">
        <f t="shared" si="3"/>
        <v>0.64601520698394821</v>
      </c>
    </row>
    <row r="32" spans="1:12">
      <c r="A32" s="5">
        <v>30</v>
      </c>
      <c r="B32" s="3" t="s">
        <v>32</v>
      </c>
      <c r="C32" s="4">
        <v>2737</v>
      </c>
      <c r="D32" s="4">
        <v>7507</v>
      </c>
      <c r="E32" s="4">
        <v>2672</v>
      </c>
      <c r="F32" s="4">
        <f t="shared" si="0"/>
        <v>12916</v>
      </c>
      <c r="G32" s="4">
        <v>2606</v>
      </c>
      <c r="H32" s="4">
        <v>8600</v>
      </c>
      <c r="I32" s="4">
        <v>3565</v>
      </c>
      <c r="J32" s="4">
        <f t="shared" si="1"/>
        <v>14771</v>
      </c>
      <c r="K32" s="4">
        <f t="shared" si="2"/>
        <v>27687</v>
      </c>
      <c r="L32" s="11">
        <f t="shared" si="3"/>
        <v>0.14362031588727159</v>
      </c>
    </row>
    <row r="33" spans="1:12">
      <c r="A33" s="5">
        <v>31</v>
      </c>
      <c r="B33" t="s">
        <v>47</v>
      </c>
      <c r="C33" s="1">
        <v>1886</v>
      </c>
      <c r="D33" s="1">
        <v>4850</v>
      </c>
      <c r="E33" s="1">
        <v>1751</v>
      </c>
      <c r="F33" s="1">
        <f t="shared" si="0"/>
        <v>8487</v>
      </c>
      <c r="G33" s="1">
        <v>1858</v>
      </c>
      <c r="H33" s="1">
        <v>10073</v>
      </c>
      <c r="I33" s="1">
        <v>2278</v>
      </c>
      <c r="J33" s="1">
        <f t="shared" si="1"/>
        <v>14209</v>
      </c>
      <c r="K33" s="1">
        <f t="shared" si="2"/>
        <v>22696</v>
      </c>
      <c r="L33" s="9">
        <f t="shared" si="3"/>
        <v>0.6742076116413338</v>
      </c>
    </row>
    <row r="34" spans="1:12">
      <c r="A34" s="5">
        <v>32</v>
      </c>
      <c r="B34" s="3" t="s">
        <v>37</v>
      </c>
      <c r="C34" s="4">
        <v>1475</v>
      </c>
      <c r="D34" s="4">
        <v>4388</v>
      </c>
      <c r="E34" s="4">
        <v>1221</v>
      </c>
      <c r="F34" s="4">
        <f t="shared" si="0"/>
        <v>7084</v>
      </c>
      <c r="G34" s="4">
        <v>1797</v>
      </c>
      <c r="H34" s="4">
        <v>8410</v>
      </c>
      <c r="I34" s="4">
        <v>2156</v>
      </c>
      <c r="J34" s="4">
        <f t="shared" si="1"/>
        <v>12363</v>
      </c>
      <c r="K34" s="4">
        <f t="shared" si="2"/>
        <v>19447</v>
      </c>
      <c r="L34" s="11">
        <f t="shared" si="3"/>
        <v>0.74520045172219085</v>
      </c>
    </row>
    <row r="35" spans="1:12">
      <c r="A35" s="5">
        <v>33</v>
      </c>
      <c r="B35" s="3" t="s">
        <v>28</v>
      </c>
      <c r="C35" s="4">
        <v>1210</v>
      </c>
      <c r="D35" s="4">
        <v>0</v>
      </c>
      <c r="E35" s="4">
        <v>1041</v>
      </c>
      <c r="F35" s="4">
        <f t="shared" ref="F35:F52" si="4">SUM(C35:E35)</f>
        <v>2251</v>
      </c>
      <c r="G35" s="4">
        <v>1592</v>
      </c>
      <c r="H35" s="4">
        <v>7609</v>
      </c>
      <c r="I35" s="4">
        <v>1427</v>
      </c>
      <c r="J35" s="4">
        <f t="shared" ref="J35:J52" si="5">SUM(G35:I35)</f>
        <v>10628</v>
      </c>
      <c r="K35" s="4">
        <f t="shared" ref="K35:K52" si="6">J35+F35</f>
        <v>12879</v>
      </c>
      <c r="L35" s="11">
        <f t="shared" ref="L35:L52" si="7">(J35-F35)/F35</f>
        <v>3.7214571301643713</v>
      </c>
    </row>
    <row r="36" spans="1:12">
      <c r="A36" s="5">
        <v>34</v>
      </c>
      <c r="B36" t="s">
        <v>43</v>
      </c>
      <c r="C36" s="1">
        <v>1379</v>
      </c>
      <c r="D36" s="1">
        <v>3460</v>
      </c>
      <c r="E36" s="1">
        <v>960</v>
      </c>
      <c r="F36" s="1">
        <f t="shared" si="4"/>
        <v>5799</v>
      </c>
      <c r="G36" s="1">
        <v>1949</v>
      </c>
      <c r="H36" s="1">
        <v>6941</v>
      </c>
      <c r="I36" s="1">
        <v>1757</v>
      </c>
      <c r="J36" s="1">
        <f t="shared" si="5"/>
        <v>10647</v>
      </c>
      <c r="K36" s="1">
        <f t="shared" si="6"/>
        <v>16446</v>
      </c>
      <c r="L36" s="9">
        <f t="shared" si="7"/>
        <v>0.83600620796689085</v>
      </c>
    </row>
    <row r="37" spans="1:12">
      <c r="A37" s="5">
        <v>35</v>
      </c>
      <c r="B37" t="s">
        <v>38</v>
      </c>
      <c r="C37" s="2">
        <v>1316</v>
      </c>
      <c r="D37" s="2">
        <v>4674</v>
      </c>
      <c r="E37" s="2">
        <v>1177</v>
      </c>
      <c r="F37" s="2">
        <f t="shared" si="4"/>
        <v>7167</v>
      </c>
      <c r="G37" s="2">
        <v>1941</v>
      </c>
      <c r="H37" s="2">
        <v>5942</v>
      </c>
      <c r="I37" s="2">
        <v>1366</v>
      </c>
      <c r="J37" s="2">
        <f t="shared" si="5"/>
        <v>9249</v>
      </c>
      <c r="K37" s="2">
        <f t="shared" si="6"/>
        <v>16416</v>
      </c>
      <c r="L37" s="9">
        <f t="shared" si="7"/>
        <v>0.2904981163666806</v>
      </c>
    </row>
    <row r="38" spans="1:12">
      <c r="A38" s="5">
        <v>36</v>
      </c>
      <c r="B38" s="3" t="s">
        <v>49</v>
      </c>
      <c r="C38" s="4">
        <v>1276</v>
      </c>
      <c r="D38" s="4">
        <v>3698</v>
      </c>
      <c r="E38" s="4">
        <v>1159</v>
      </c>
      <c r="F38" s="4">
        <f t="shared" si="4"/>
        <v>6133</v>
      </c>
      <c r="G38" s="4">
        <v>1961</v>
      </c>
      <c r="H38" s="4">
        <v>6481</v>
      </c>
      <c r="I38" s="4">
        <v>1656</v>
      </c>
      <c r="J38" s="4">
        <f t="shared" si="5"/>
        <v>10098</v>
      </c>
      <c r="K38" s="4">
        <f t="shared" si="6"/>
        <v>16231</v>
      </c>
      <c r="L38" s="11">
        <f t="shared" si="7"/>
        <v>0.64650252731126689</v>
      </c>
    </row>
    <row r="39" spans="1:12">
      <c r="A39" s="5">
        <v>37</v>
      </c>
      <c r="B39" t="s">
        <v>31</v>
      </c>
      <c r="C39" s="1">
        <v>970</v>
      </c>
      <c r="D39" s="1">
        <v>3126</v>
      </c>
      <c r="E39" s="1">
        <v>1093</v>
      </c>
      <c r="F39" s="1">
        <f t="shared" si="4"/>
        <v>5189</v>
      </c>
      <c r="G39" s="1">
        <v>1374</v>
      </c>
      <c r="H39" s="1">
        <v>5050</v>
      </c>
      <c r="I39" s="1">
        <v>1463</v>
      </c>
      <c r="J39" s="1">
        <f t="shared" si="5"/>
        <v>7887</v>
      </c>
      <c r="K39" s="1">
        <f t="shared" si="6"/>
        <v>13076</v>
      </c>
      <c r="L39" s="9">
        <f t="shared" si="7"/>
        <v>0.51994603969936404</v>
      </c>
    </row>
    <row r="40" spans="1:12">
      <c r="A40" s="5">
        <v>38</v>
      </c>
      <c r="B40" t="s">
        <v>36</v>
      </c>
      <c r="C40" s="1">
        <v>797</v>
      </c>
      <c r="D40" s="1">
        <v>2967</v>
      </c>
      <c r="E40" s="1">
        <v>759</v>
      </c>
      <c r="F40" s="1">
        <f t="shared" si="4"/>
        <v>4523</v>
      </c>
      <c r="G40" s="1">
        <v>1009</v>
      </c>
      <c r="H40" s="1">
        <v>4296</v>
      </c>
      <c r="I40" s="1">
        <v>758</v>
      </c>
      <c r="J40" s="1">
        <f t="shared" si="5"/>
        <v>6063</v>
      </c>
      <c r="K40" s="1">
        <f t="shared" si="6"/>
        <v>10586</v>
      </c>
      <c r="L40" s="9">
        <f t="shared" si="7"/>
        <v>0.34048198098607119</v>
      </c>
    </row>
    <row r="41" spans="1:12">
      <c r="A41" s="5">
        <v>39</v>
      </c>
      <c r="B41" s="3" t="s">
        <v>34</v>
      </c>
      <c r="C41" s="4">
        <v>1101</v>
      </c>
      <c r="D41" s="4">
        <v>2566</v>
      </c>
      <c r="E41" s="4">
        <v>898</v>
      </c>
      <c r="F41" s="4">
        <f t="shared" si="4"/>
        <v>4565</v>
      </c>
      <c r="G41" s="4">
        <v>1424</v>
      </c>
      <c r="H41" s="4">
        <v>2732</v>
      </c>
      <c r="I41" s="4">
        <v>938</v>
      </c>
      <c r="J41" s="4">
        <f t="shared" si="5"/>
        <v>5094</v>
      </c>
      <c r="K41" s="4">
        <f t="shared" si="6"/>
        <v>9659</v>
      </c>
      <c r="L41" s="11">
        <f t="shared" si="7"/>
        <v>0.11588170865279299</v>
      </c>
    </row>
    <row r="42" spans="1:12">
      <c r="A42" s="5">
        <v>40</v>
      </c>
      <c r="B42" s="3" t="s">
        <v>39</v>
      </c>
      <c r="C42" s="4">
        <v>888</v>
      </c>
      <c r="D42" s="4">
        <v>2427</v>
      </c>
      <c r="E42" s="4">
        <v>742</v>
      </c>
      <c r="F42" s="4">
        <f t="shared" si="4"/>
        <v>4057</v>
      </c>
      <c r="G42" s="4">
        <v>1548</v>
      </c>
      <c r="H42" s="4">
        <v>3123</v>
      </c>
      <c r="I42" s="4">
        <v>683</v>
      </c>
      <c r="J42" s="4">
        <f t="shared" si="5"/>
        <v>5354</v>
      </c>
      <c r="K42" s="4">
        <f t="shared" si="6"/>
        <v>9411</v>
      </c>
      <c r="L42" s="11">
        <f t="shared" si="7"/>
        <v>0.31969435543505054</v>
      </c>
    </row>
    <row r="43" spans="1:12">
      <c r="A43" s="5">
        <v>41</v>
      </c>
      <c r="B43" s="3" t="s">
        <v>42</v>
      </c>
      <c r="C43" s="4">
        <v>560</v>
      </c>
      <c r="D43" s="4">
        <v>2050</v>
      </c>
      <c r="E43" s="4">
        <v>542</v>
      </c>
      <c r="F43" s="4">
        <f t="shared" si="4"/>
        <v>3152</v>
      </c>
      <c r="G43" s="4">
        <v>866</v>
      </c>
      <c r="H43" s="4">
        <v>3148</v>
      </c>
      <c r="I43" s="4">
        <v>779</v>
      </c>
      <c r="J43" s="4">
        <f t="shared" si="5"/>
        <v>4793</v>
      </c>
      <c r="K43" s="4">
        <f t="shared" si="6"/>
        <v>7945</v>
      </c>
      <c r="L43" s="11">
        <f t="shared" si="7"/>
        <v>0.52062182741116747</v>
      </c>
    </row>
    <row r="44" spans="1:12">
      <c r="A44" s="5">
        <v>42</v>
      </c>
      <c r="B44" t="s">
        <v>14</v>
      </c>
      <c r="C44" s="1">
        <v>376</v>
      </c>
      <c r="D44" s="1">
        <v>1062</v>
      </c>
      <c r="E44" s="1">
        <v>388</v>
      </c>
      <c r="F44" s="1">
        <f t="shared" si="4"/>
        <v>1826</v>
      </c>
      <c r="G44" s="1">
        <v>653</v>
      </c>
      <c r="H44" s="1">
        <v>2435</v>
      </c>
      <c r="I44" s="1">
        <v>411</v>
      </c>
      <c r="J44" s="1">
        <f t="shared" si="5"/>
        <v>3499</v>
      </c>
      <c r="K44" s="1">
        <f t="shared" si="6"/>
        <v>5325</v>
      </c>
      <c r="L44" s="9">
        <f t="shared" si="7"/>
        <v>0.91621029572836798</v>
      </c>
    </row>
    <row r="45" spans="1:12">
      <c r="A45" s="5">
        <v>43</v>
      </c>
      <c r="B45" s="3" t="s">
        <v>8</v>
      </c>
      <c r="C45" s="4">
        <v>424</v>
      </c>
      <c r="D45" s="4">
        <v>1464</v>
      </c>
      <c r="E45" s="4">
        <v>337</v>
      </c>
      <c r="F45" s="4">
        <f t="shared" si="4"/>
        <v>2225</v>
      </c>
      <c r="G45" s="4">
        <v>298</v>
      </c>
      <c r="H45" s="4">
        <v>1246</v>
      </c>
      <c r="I45" s="4">
        <v>566</v>
      </c>
      <c r="J45" s="4">
        <f t="shared" si="5"/>
        <v>2110</v>
      </c>
      <c r="K45" s="4">
        <f t="shared" si="6"/>
        <v>4335</v>
      </c>
      <c r="L45" s="11">
        <f t="shared" si="7"/>
        <v>-5.1685393258426963E-2</v>
      </c>
    </row>
    <row r="46" spans="1:12">
      <c r="A46" s="5">
        <v>44</v>
      </c>
      <c r="B46" s="3" t="s">
        <v>40</v>
      </c>
      <c r="C46" s="4">
        <v>329</v>
      </c>
      <c r="D46" s="4">
        <v>1242</v>
      </c>
      <c r="E46" s="4">
        <v>248</v>
      </c>
      <c r="F46" s="4">
        <f t="shared" si="4"/>
        <v>1819</v>
      </c>
      <c r="G46" s="4">
        <v>427</v>
      </c>
      <c r="H46" s="4">
        <v>1528</v>
      </c>
      <c r="I46" s="4">
        <v>427</v>
      </c>
      <c r="J46" s="4">
        <f t="shared" si="5"/>
        <v>2382</v>
      </c>
      <c r="K46" s="4">
        <f t="shared" si="6"/>
        <v>4201</v>
      </c>
      <c r="L46" s="11">
        <f t="shared" si="7"/>
        <v>0.30951072017592085</v>
      </c>
    </row>
    <row r="47" spans="1:12">
      <c r="A47" s="5">
        <v>45</v>
      </c>
      <c r="B47" s="3" t="s">
        <v>0</v>
      </c>
      <c r="C47" s="4">
        <v>253</v>
      </c>
      <c r="D47" s="4">
        <v>1157</v>
      </c>
      <c r="E47" s="4">
        <v>293</v>
      </c>
      <c r="F47" s="4">
        <f t="shared" si="4"/>
        <v>1703</v>
      </c>
      <c r="G47" s="4">
        <v>435</v>
      </c>
      <c r="H47" s="4">
        <v>1553</v>
      </c>
      <c r="I47" s="4">
        <v>282</v>
      </c>
      <c r="J47" s="4">
        <f t="shared" si="5"/>
        <v>2270</v>
      </c>
      <c r="K47" s="4">
        <f t="shared" si="6"/>
        <v>3973</v>
      </c>
      <c r="L47" s="11">
        <f t="shared" si="7"/>
        <v>0.33294186729301234</v>
      </c>
    </row>
    <row r="48" spans="1:12">
      <c r="A48" s="5">
        <v>46</v>
      </c>
      <c r="B48" s="3" t="s">
        <v>24</v>
      </c>
      <c r="C48" s="4">
        <v>181</v>
      </c>
      <c r="D48" s="4">
        <v>419</v>
      </c>
      <c r="E48" s="4">
        <v>144</v>
      </c>
      <c r="F48" s="4">
        <f t="shared" si="4"/>
        <v>744</v>
      </c>
      <c r="G48" s="4">
        <v>126</v>
      </c>
      <c r="H48" s="4">
        <v>358</v>
      </c>
      <c r="I48" s="4">
        <v>116</v>
      </c>
      <c r="J48" s="4">
        <f t="shared" si="5"/>
        <v>600</v>
      </c>
      <c r="K48" s="4">
        <f t="shared" si="6"/>
        <v>1344</v>
      </c>
      <c r="L48" s="11">
        <f t="shared" si="7"/>
        <v>-0.19354838709677419</v>
      </c>
    </row>
    <row r="49" spans="1:12">
      <c r="A49" s="5">
        <v>47</v>
      </c>
      <c r="B49" t="s">
        <v>9</v>
      </c>
      <c r="C49" s="1">
        <v>68</v>
      </c>
      <c r="D49" s="1">
        <v>145</v>
      </c>
      <c r="E49" s="1">
        <v>61</v>
      </c>
      <c r="F49" s="1">
        <f t="shared" si="4"/>
        <v>274</v>
      </c>
      <c r="G49" s="1">
        <v>110</v>
      </c>
      <c r="H49" s="1">
        <v>203</v>
      </c>
      <c r="I49" s="1">
        <v>65</v>
      </c>
      <c r="J49" s="1">
        <f t="shared" si="5"/>
        <v>378</v>
      </c>
      <c r="K49" s="1">
        <f t="shared" si="6"/>
        <v>652</v>
      </c>
      <c r="L49" s="9">
        <f t="shared" si="7"/>
        <v>0.37956204379562042</v>
      </c>
    </row>
    <row r="50" spans="1:12">
      <c r="A50" s="5">
        <v>48</v>
      </c>
      <c r="B50" s="3" t="s">
        <v>27</v>
      </c>
      <c r="C50" s="4">
        <v>34</v>
      </c>
      <c r="D50" s="4">
        <v>132</v>
      </c>
      <c r="E50" s="4">
        <v>39</v>
      </c>
      <c r="F50" s="4">
        <f t="shared" si="4"/>
        <v>205</v>
      </c>
      <c r="G50" s="4">
        <v>35</v>
      </c>
      <c r="H50" s="4">
        <v>148</v>
      </c>
      <c r="I50" s="4">
        <v>46</v>
      </c>
      <c r="J50" s="4">
        <f t="shared" si="5"/>
        <v>229</v>
      </c>
      <c r="K50" s="4">
        <f t="shared" si="6"/>
        <v>434</v>
      </c>
      <c r="L50" s="11">
        <f t="shared" si="7"/>
        <v>0.11707317073170732</v>
      </c>
    </row>
    <row r="51" spans="1:12">
      <c r="A51" s="5">
        <v>49</v>
      </c>
      <c r="B51" t="s">
        <v>2</v>
      </c>
      <c r="C51" s="1">
        <v>11</v>
      </c>
      <c r="D51" s="1">
        <v>47</v>
      </c>
      <c r="E51" s="1">
        <v>28</v>
      </c>
      <c r="F51" s="1">
        <f t="shared" si="4"/>
        <v>86</v>
      </c>
      <c r="G51" s="1">
        <v>80</v>
      </c>
      <c r="H51" s="1">
        <v>216</v>
      </c>
      <c r="I51" s="1">
        <v>44</v>
      </c>
      <c r="J51" s="1">
        <f t="shared" si="5"/>
        <v>340</v>
      </c>
      <c r="K51" s="1">
        <f t="shared" si="6"/>
        <v>426</v>
      </c>
      <c r="L51" s="9">
        <f t="shared" si="7"/>
        <v>2.9534883720930232</v>
      </c>
    </row>
    <row r="52" spans="1:12">
      <c r="A52" s="5">
        <v>50</v>
      </c>
      <c r="B52" t="s">
        <v>15</v>
      </c>
      <c r="C52" s="1">
        <v>1</v>
      </c>
      <c r="D52" s="1">
        <v>3</v>
      </c>
      <c r="E52" s="1">
        <v>0</v>
      </c>
      <c r="F52" s="1">
        <f t="shared" si="4"/>
        <v>4</v>
      </c>
      <c r="G52" s="1">
        <v>3</v>
      </c>
      <c r="H52" s="1">
        <v>1</v>
      </c>
      <c r="I52" s="1">
        <v>0</v>
      </c>
      <c r="J52" s="1">
        <f t="shared" si="5"/>
        <v>4</v>
      </c>
      <c r="K52" s="1">
        <f t="shared" si="6"/>
        <v>8</v>
      </c>
      <c r="L52" s="9">
        <f t="shared" si="7"/>
        <v>0</v>
      </c>
    </row>
  </sheetData>
  <mergeCells count="2">
    <mergeCell ref="C1:F1"/>
    <mergeCell ref="G1:J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F365-1CE2-4637-B840-EA272A55D206}">
  <dimension ref="A1:BK52"/>
  <sheetViews>
    <sheetView workbookViewId="0">
      <selection activeCell="AS3" sqref="AS3"/>
    </sheetView>
  </sheetViews>
  <sheetFormatPr defaultRowHeight="14.4"/>
  <cols>
    <col min="1" max="1" width="5.88671875" bestFit="1" customWidth="1"/>
    <col min="2" max="2" width="23.33203125" bestFit="1" customWidth="1"/>
    <col min="3" max="3" width="9" style="17" bestFit="1" customWidth="1"/>
    <col min="4" max="4" width="8" bestFit="1" customWidth="1"/>
    <col min="5" max="5" width="8" style="17" bestFit="1" customWidth="1"/>
    <col min="6" max="7" width="8" bestFit="1" customWidth="1"/>
    <col min="8" max="8" width="8" style="20" bestFit="1" customWidth="1"/>
    <col min="9" max="9" width="7" bestFit="1" customWidth="1"/>
    <col min="10" max="10" width="9" style="17" bestFit="1" customWidth="1"/>
    <col min="11" max="11" width="7" bestFit="1" customWidth="1"/>
    <col min="12" max="13" width="8" bestFit="1" customWidth="1"/>
    <col min="14" max="14" width="7" bestFit="1" customWidth="1"/>
    <col min="15" max="16" width="8" bestFit="1" customWidth="1"/>
    <col min="17" max="17" width="9" style="20" bestFit="1" customWidth="1"/>
    <col min="18" max="18" width="7" bestFit="1" customWidth="1"/>
    <col min="19" max="19" width="9" bestFit="1" customWidth="1"/>
    <col min="20" max="20" width="9" style="17" bestFit="1" customWidth="1"/>
    <col min="21" max="21" width="8" bestFit="1" customWidth="1"/>
    <col min="22" max="22" width="8" style="17" bestFit="1" customWidth="1"/>
    <col min="23" max="24" width="8" bestFit="1" customWidth="1"/>
    <col min="25" max="25" width="8" style="20" bestFit="1" customWidth="1"/>
    <col min="26" max="26" width="8" bestFit="1" customWidth="1"/>
    <col min="27" max="27" width="9" style="17" bestFit="1" customWidth="1"/>
    <col min="28" max="33" width="8" bestFit="1" customWidth="1"/>
    <col min="34" max="34" width="9" style="20" bestFit="1" customWidth="1"/>
    <col min="35" max="35" width="8" bestFit="1" customWidth="1"/>
    <col min="36" max="36" width="10.5546875" bestFit="1" customWidth="1"/>
    <col min="37" max="37" width="16.44140625" customWidth="1"/>
    <col min="38" max="38" width="11.5546875" customWidth="1"/>
    <col min="39" max="41" width="10.88671875" customWidth="1"/>
    <col min="43" max="43" width="9.6640625" bestFit="1" customWidth="1"/>
  </cols>
  <sheetData>
    <row r="1" spans="1:63">
      <c r="A1" s="7"/>
      <c r="B1" s="7"/>
      <c r="C1" s="26" t="s">
        <v>61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 t="s">
        <v>84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7" t="s">
        <v>85</v>
      </c>
      <c r="AL1" s="7" t="s">
        <v>122</v>
      </c>
      <c r="AM1" s="7" t="s">
        <v>123</v>
      </c>
      <c r="AN1" s="7"/>
      <c r="AO1" s="7"/>
      <c r="AP1" s="7" t="s">
        <v>122</v>
      </c>
      <c r="AQ1" s="7" t="s">
        <v>123</v>
      </c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2" spans="1:63">
      <c r="A2" s="7" t="s">
        <v>67</v>
      </c>
      <c r="B2" s="7" t="s">
        <v>66</v>
      </c>
      <c r="C2" s="16" t="s">
        <v>68</v>
      </c>
      <c r="D2" s="7" t="s">
        <v>69</v>
      </c>
      <c r="E2" s="16" t="s">
        <v>70</v>
      </c>
      <c r="F2" s="7" t="s">
        <v>71</v>
      </c>
      <c r="G2" s="7" t="s">
        <v>72</v>
      </c>
      <c r="H2" s="18" t="s">
        <v>73</v>
      </c>
      <c r="I2" s="7" t="s">
        <v>74</v>
      </c>
      <c r="J2" s="16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7" t="s">
        <v>80</v>
      </c>
      <c r="P2" s="7" t="s">
        <v>81</v>
      </c>
      <c r="Q2" s="18" t="s">
        <v>82</v>
      </c>
      <c r="R2" s="7" t="s">
        <v>83</v>
      </c>
      <c r="S2" s="10" t="s">
        <v>63</v>
      </c>
      <c r="T2" s="16" t="s">
        <v>68</v>
      </c>
      <c r="U2" s="7" t="s">
        <v>69</v>
      </c>
      <c r="V2" s="16" t="s">
        <v>70</v>
      </c>
      <c r="W2" s="7" t="s">
        <v>71</v>
      </c>
      <c r="X2" s="7" t="s">
        <v>72</v>
      </c>
      <c r="Y2" s="18" t="s">
        <v>73</v>
      </c>
      <c r="Z2" s="7" t="s">
        <v>74</v>
      </c>
      <c r="AA2" s="16" t="s">
        <v>75</v>
      </c>
      <c r="AB2" s="7" t="s">
        <v>76</v>
      </c>
      <c r="AC2" s="7" t="s">
        <v>77</v>
      </c>
      <c r="AD2" s="7" t="s">
        <v>78</v>
      </c>
      <c r="AE2" s="7" t="s">
        <v>79</v>
      </c>
      <c r="AF2" s="7" t="s">
        <v>80</v>
      </c>
      <c r="AG2" s="7" t="s">
        <v>81</v>
      </c>
      <c r="AH2" s="18" t="s">
        <v>82</v>
      </c>
      <c r="AI2" s="7" t="s">
        <v>83</v>
      </c>
      <c r="AJ2" s="10" t="s">
        <v>63</v>
      </c>
      <c r="AK2" s="10" t="s">
        <v>86</v>
      </c>
      <c r="AL2" s="26" t="s">
        <v>120</v>
      </c>
      <c r="AM2" s="26"/>
      <c r="AN2" s="7" t="s">
        <v>124</v>
      </c>
      <c r="AO2" s="7" t="s">
        <v>125</v>
      </c>
      <c r="AP2" s="26" t="s">
        <v>121</v>
      </c>
      <c r="AQ2" s="26"/>
      <c r="AR2" s="7" t="s">
        <v>124</v>
      </c>
      <c r="AS2" s="7" t="s">
        <v>125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>
      <c r="A3">
        <v>1</v>
      </c>
      <c r="B3" t="s">
        <v>1</v>
      </c>
      <c r="C3" s="2">
        <v>97365</v>
      </c>
      <c r="D3" s="2">
        <v>27218</v>
      </c>
      <c r="E3" s="2">
        <v>18761</v>
      </c>
      <c r="F3" s="2">
        <v>8968</v>
      </c>
      <c r="G3" s="2">
        <v>11225</v>
      </c>
      <c r="H3" s="2">
        <v>41739</v>
      </c>
      <c r="I3" s="2">
        <v>2712</v>
      </c>
      <c r="J3" s="2">
        <v>92723</v>
      </c>
      <c r="K3" s="2">
        <v>5602</v>
      </c>
      <c r="L3" s="2">
        <v>7462</v>
      </c>
      <c r="M3" s="2">
        <v>11326</v>
      </c>
      <c r="N3" s="2">
        <v>7987</v>
      </c>
      <c r="O3" s="2">
        <v>11834</v>
      </c>
      <c r="P3" s="2">
        <v>38159</v>
      </c>
      <c r="Q3" s="2">
        <v>226108</v>
      </c>
      <c r="R3" s="2">
        <v>6263</v>
      </c>
      <c r="S3" s="2">
        <v>615452</v>
      </c>
      <c r="T3" s="2">
        <v>168480</v>
      </c>
      <c r="U3" s="2">
        <v>53395</v>
      </c>
      <c r="V3" s="2">
        <v>35223</v>
      </c>
      <c r="W3" s="2">
        <v>23708</v>
      </c>
      <c r="X3" s="2">
        <v>22042</v>
      </c>
      <c r="Y3" s="2">
        <v>80350</v>
      </c>
      <c r="Z3" s="2">
        <v>6385</v>
      </c>
      <c r="AA3" s="2">
        <v>179897</v>
      </c>
      <c r="AB3" s="2">
        <v>14657</v>
      </c>
      <c r="AC3" s="2">
        <v>18156</v>
      </c>
      <c r="AD3" s="2">
        <v>25289</v>
      </c>
      <c r="AE3" s="2">
        <v>19646</v>
      </c>
      <c r="AF3" s="2">
        <v>31281</v>
      </c>
      <c r="AG3" s="2">
        <v>69996</v>
      </c>
      <c r="AH3" s="2">
        <v>366678</v>
      </c>
      <c r="AI3" s="2">
        <v>10885</v>
      </c>
      <c r="AJ3" s="2">
        <v>1126067</v>
      </c>
      <c r="AK3" s="2">
        <f t="shared" ref="AK3:AK34" si="0">AJ3+S3</f>
        <v>1741519</v>
      </c>
      <c r="AL3" s="21">
        <f>C3+E3+J3</f>
        <v>208849</v>
      </c>
      <c r="AM3" s="21">
        <f>T3+V3+AA3</f>
        <v>383600</v>
      </c>
      <c r="AN3" s="22">
        <f>(AM3-AL3)/AL3</f>
        <v>0.83673371670441321</v>
      </c>
      <c r="AO3" s="22">
        <f>(AL3+AM3)/AK3</f>
        <v>0.34019094824690399</v>
      </c>
      <c r="AP3" s="21">
        <f>H4+Q4</f>
        <v>74681</v>
      </c>
      <c r="AQ3" s="21">
        <f>Y4+AH4</f>
        <v>134717</v>
      </c>
      <c r="AR3" s="22">
        <f>(AQ3-AP3)/AP3</f>
        <v>0.80389925148297425</v>
      </c>
      <c r="AS3" s="22">
        <f>(AP3+AQ3)/AK3</f>
        <v>0.12023871114814136</v>
      </c>
    </row>
    <row r="4" spans="1:63">
      <c r="A4">
        <v>2</v>
      </c>
      <c r="B4" s="3" t="s">
        <v>33</v>
      </c>
      <c r="C4" s="15">
        <v>137158</v>
      </c>
      <c r="D4" s="4">
        <v>33622</v>
      </c>
      <c r="E4" s="15">
        <v>19315</v>
      </c>
      <c r="F4" s="4">
        <v>13482</v>
      </c>
      <c r="G4" s="4">
        <v>15016</v>
      </c>
      <c r="H4" s="19">
        <v>21509</v>
      </c>
      <c r="I4" s="4">
        <v>4925</v>
      </c>
      <c r="J4" s="15">
        <v>125355</v>
      </c>
      <c r="K4" s="4">
        <v>5032</v>
      </c>
      <c r="L4" s="4">
        <v>10219</v>
      </c>
      <c r="M4" s="4">
        <v>11750</v>
      </c>
      <c r="N4" s="4">
        <v>9844</v>
      </c>
      <c r="O4" s="4">
        <v>8427</v>
      </c>
      <c r="P4" s="4">
        <v>24804</v>
      </c>
      <c r="Q4" s="19">
        <v>53172</v>
      </c>
      <c r="R4" s="4">
        <v>2886</v>
      </c>
      <c r="S4" s="4">
        <v>496516</v>
      </c>
      <c r="T4" s="15">
        <v>244527</v>
      </c>
      <c r="U4" s="4">
        <v>66948</v>
      </c>
      <c r="V4" s="15">
        <v>41025</v>
      </c>
      <c r="W4" s="4">
        <v>37312</v>
      </c>
      <c r="X4" s="4">
        <v>31878</v>
      </c>
      <c r="Y4" s="19">
        <v>38659</v>
      </c>
      <c r="Z4" s="4">
        <v>10175</v>
      </c>
      <c r="AA4" s="15">
        <v>239173</v>
      </c>
      <c r="AB4" s="4">
        <v>13256</v>
      </c>
      <c r="AC4" s="4">
        <v>24030</v>
      </c>
      <c r="AD4" s="4">
        <v>30003</v>
      </c>
      <c r="AE4" s="4">
        <v>28063</v>
      </c>
      <c r="AF4" s="4">
        <v>25582</v>
      </c>
      <c r="AG4" s="4">
        <v>49411</v>
      </c>
      <c r="AH4" s="19">
        <v>96058</v>
      </c>
      <c r="AI4" s="4">
        <v>6519</v>
      </c>
      <c r="AJ4" s="4">
        <v>982619</v>
      </c>
      <c r="AK4" s="4">
        <f t="shared" si="0"/>
        <v>1479135</v>
      </c>
      <c r="AL4" s="23">
        <f t="shared" ref="AL4:AL52" si="1">C4+E4+J4</f>
        <v>281828</v>
      </c>
      <c r="AM4" s="23">
        <f t="shared" ref="AM4:AM52" si="2">T4+V4+AA4</f>
        <v>524725</v>
      </c>
      <c r="AN4" s="11">
        <f t="shared" ref="AN4:AN52" si="3">(AM4-AL4)/AL4</f>
        <v>0.86186255446584437</v>
      </c>
      <c r="AO4" s="11">
        <f t="shared" ref="AO4:AO52" si="4">(AL4+AM4)/AK4</f>
        <v>0.5452869413542375</v>
      </c>
      <c r="AP4" s="23">
        <f t="shared" ref="AP4:AP52" si="5">H5+Q5</f>
        <v>64077</v>
      </c>
      <c r="AQ4" s="23">
        <f t="shared" ref="AQ4:AQ52" si="6">Y5+AH5</f>
        <v>108216</v>
      </c>
      <c r="AR4" s="11">
        <f t="shared" ref="AR4:AR52" si="7">(AQ4-AP4)/AP4</f>
        <v>0.68884311063252024</v>
      </c>
      <c r="AS4" s="11">
        <f t="shared" ref="AS4:AS52" si="8">(AP4+AQ4)/AK4</f>
        <v>0.11648226835278727</v>
      </c>
    </row>
    <row r="5" spans="1:63">
      <c r="A5">
        <v>3</v>
      </c>
      <c r="B5" t="s">
        <v>17</v>
      </c>
      <c r="C5" s="2">
        <v>124049</v>
      </c>
      <c r="D5" s="2">
        <v>30429</v>
      </c>
      <c r="E5" s="2">
        <v>17035</v>
      </c>
      <c r="F5" s="2">
        <v>12098</v>
      </c>
      <c r="G5" s="2">
        <v>13257</v>
      </c>
      <c r="H5" s="2">
        <v>18767</v>
      </c>
      <c r="I5" s="2">
        <v>4257</v>
      </c>
      <c r="J5" s="2">
        <v>112675</v>
      </c>
      <c r="K5" s="2">
        <v>4295</v>
      </c>
      <c r="L5" s="2">
        <v>8776</v>
      </c>
      <c r="M5" s="2">
        <v>10376</v>
      </c>
      <c r="N5" s="2">
        <v>8599</v>
      </c>
      <c r="O5" s="2">
        <v>7414</v>
      </c>
      <c r="P5" s="2">
        <v>22121</v>
      </c>
      <c r="Q5" s="2">
        <v>45310</v>
      </c>
      <c r="R5" s="2">
        <v>2398</v>
      </c>
      <c r="S5" s="2">
        <v>441853</v>
      </c>
      <c r="T5" s="2">
        <v>203094</v>
      </c>
      <c r="U5" s="2">
        <v>55725</v>
      </c>
      <c r="V5" s="2">
        <v>33342</v>
      </c>
      <c r="W5" s="2">
        <v>30941</v>
      </c>
      <c r="X5" s="2">
        <v>26028</v>
      </c>
      <c r="Y5" s="2">
        <v>31705</v>
      </c>
      <c r="Z5" s="2">
        <v>8267</v>
      </c>
      <c r="AA5" s="2">
        <v>198021</v>
      </c>
      <c r="AB5" s="2">
        <v>10707</v>
      </c>
      <c r="AC5" s="2">
        <v>19372</v>
      </c>
      <c r="AD5" s="2">
        <v>24481</v>
      </c>
      <c r="AE5" s="2">
        <v>22961</v>
      </c>
      <c r="AF5" s="2">
        <v>20716</v>
      </c>
      <c r="AG5" s="2">
        <v>40742</v>
      </c>
      <c r="AH5" s="2">
        <v>76511</v>
      </c>
      <c r="AI5" s="2">
        <v>5306</v>
      </c>
      <c r="AJ5" s="2">
        <v>807918</v>
      </c>
      <c r="AK5" s="2">
        <f t="shared" si="0"/>
        <v>1249771</v>
      </c>
      <c r="AL5" s="21">
        <f t="shared" si="1"/>
        <v>253759</v>
      </c>
      <c r="AM5" s="21">
        <f t="shared" si="2"/>
        <v>434457</v>
      </c>
      <c r="AN5" s="22">
        <f t="shared" si="3"/>
        <v>0.71208508860769471</v>
      </c>
      <c r="AO5" s="22">
        <f t="shared" si="4"/>
        <v>0.5506736834188023</v>
      </c>
      <c r="AP5" s="21">
        <f t="shared" si="5"/>
        <v>109032</v>
      </c>
      <c r="AQ5" s="21">
        <f t="shared" si="6"/>
        <v>193241</v>
      </c>
      <c r="AR5" s="22">
        <f t="shared" si="7"/>
        <v>0.77233289309560493</v>
      </c>
      <c r="AS5" s="22">
        <f t="shared" si="8"/>
        <v>0.24186270924833431</v>
      </c>
    </row>
    <row r="6" spans="1:63">
      <c r="A6">
        <v>4</v>
      </c>
      <c r="B6" t="s">
        <v>23</v>
      </c>
      <c r="C6" s="2">
        <v>74063</v>
      </c>
      <c r="D6" s="2">
        <v>17722</v>
      </c>
      <c r="E6" s="2">
        <v>9210</v>
      </c>
      <c r="F6" s="2">
        <v>5734</v>
      </c>
      <c r="G6" s="2">
        <v>7509</v>
      </c>
      <c r="H6" s="2">
        <v>27430</v>
      </c>
      <c r="I6" s="2">
        <v>2365</v>
      </c>
      <c r="J6" s="2">
        <v>60807</v>
      </c>
      <c r="K6" s="2">
        <v>3210</v>
      </c>
      <c r="L6" s="2">
        <v>4834</v>
      </c>
      <c r="M6" s="2">
        <v>6945</v>
      </c>
      <c r="N6" s="2">
        <v>4153</v>
      </c>
      <c r="O6" s="2">
        <v>6115</v>
      </c>
      <c r="P6" s="2">
        <v>20529</v>
      </c>
      <c r="Q6" s="2">
        <v>81602</v>
      </c>
      <c r="R6" s="2">
        <v>2923</v>
      </c>
      <c r="S6" s="2">
        <v>335151</v>
      </c>
      <c r="T6" s="2">
        <v>123236</v>
      </c>
      <c r="U6" s="2">
        <v>41250</v>
      </c>
      <c r="V6" s="2">
        <v>18399</v>
      </c>
      <c r="W6" s="2">
        <v>17722</v>
      </c>
      <c r="X6" s="2">
        <v>16639</v>
      </c>
      <c r="Y6" s="2">
        <v>56356</v>
      </c>
      <c r="Z6" s="2">
        <v>6674</v>
      </c>
      <c r="AA6" s="2">
        <v>118390</v>
      </c>
      <c r="AB6" s="2">
        <v>8522</v>
      </c>
      <c r="AC6" s="2">
        <v>13706</v>
      </c>
      <c r="AD6" s="2">
        <v>15830</v>
      </c>
      <c r="AE6" s="2">
        <v>12890</v>
      </c>
      <c r="AF6" s="2">
        <v>17721</v>
      </c>
      <c r="AG6" s="2">
        <v>43183</v>
      </c>
      <c r="AH6" s="2">
        <v>136885</v>
      </c>
      <c r="AI6" s="2">
        <v>5410</v>
      </c>
      <c r="AJ6" s="2">
        <v>652813</v>
      </c>
      <c r="AK6" s="2">
        <f t="shared" si="0"/>
        <v>987964</v>
      </c>
      <c r="AL6" s="21">
        <f t="shared" si="1"/>
        <v>144080</v>
      </c>
      <c r="AM6" s="21">
        <f t="shared" si="2"/>
        <v>260025</v>
      </c>
      <c r="AN6" s="22">
        <f t="shared" si="3"/>
        <v>0.80472654081066075</v>
      </c>
      <c r="AO6" s="22">
        <f t="shared" si="4"/>
        <v>0.4090280617512379</v>
      </c>
      <c r="AP6" s="21">
        <f t="shared" si="5"/>
        <v>48975</v>
      </c>
      <c r="AQ6" s="21">
        <f t="shared" si="6"/>
        <v>91735</v>
      </c>
      <c r="AR6" s="22">
        <f t="shared" si="7"/>
        <v>0.8730985196528841</v>
      </c>
      <c r="AS6" s="22">
        <f t="shared" si="8"/>
        <v>0.14242421788648169</v>
      </c>
    </row>
    <row r="7" spans="1:63">
      <c r="A7">
        <v>5</v>
      </c>
      <c r="B7" t="s">
        <v>16</v>
      </c>
      <c r="C7" s="2">
        <v>50500</v>
      </c>
      <c r="D7" s="2">
        <v>14478</v>
      </c>
      <c r="E7" s="2">
        <v>9209</v>
      </c>
      <c r="F7" s="2">
        <v>4501</v>
      </c>
      <c r="G7" s="2">
        <v>6276</v>
      </c>
      <c r="H7" s="2">
        <v>10578</v>
      </c>
      <c r="I7" s="2">
        <v>1646</v>
      </c>
      <c r="J7" s="2">
        <v>51692</v>
      </c>
      <c r="K7" s="2">
        <v>2688</v>
      </c>
      <c r="L7" s="2">
        <v>4563</v>
      </c>
      <c r="M7" s="2">
        <v>6111</v>
      </c>
      <c r="N7" s="2">
        <v>3463</v>
      </c>
      <c r="O7" s="2">
        <v>4176</v>
      </c>
      <c r="P7" s="2">
        <v>12381</v>
      </c>
      <c r="Q7" s="2">
        <v>38397</v>
      </c>
      <c r="R7" s="2">
        <v>1415</v>
      </c>
      <c r="S7" s="2">
        <v>222077</v>
      </c>
      <c r="T7" s="2">
        <v>95370</v>
      </c>
      <c r="U7" s="2">
        <v>31253</v>
      </c>
      <c r="V7" s="2">
        <v>20533</v>
      </c>
      <c r="W7" s="2">
        <v>14982</v>
      </c>
      <c r="X7" s="2">
        <v>14007</v>
      </c>
      <c r="Y7" s="2">
        <v>21043</v>
      </c>
      <c r="Z7" s="2">
        <v>3951</v>
      </c>
      <c r="AA7" s="2">
        <v>111042</v>
      </c>
      <c r="AB7" s="2">
        <v>6019</v>
      </c>
      <c r="AC7" s="2">
        <v>13000</v>
      </c>
      <c r="AD7" s="2">
        <v>14407</v>
      </c>
      <c r="AE7" s="2">
        <v>12161</v>
      </c>
      <c r="AF7" s="2">
        <v>13396</v>
      </c>
      <c r="AG7" s="2">
        <v>26894</v>
      </c>
      <c r="AH7" s="2">
        <v>70692</v>
      </c>
      <c r="AI7" s="2">
        <v>2870</v>
      </c>
      <c r="AJ7" s="2">
        <v>471620</v>
      </c>
      <c r="AK7" s="2">
        <f t="shared" si="0"/>
        <v>693697</v>
      </c>
      <c r="AL7" s="21">
        <f t="shared" si="1"/>
        <v>111401</v>
      </c>
      <c r="AM7" s="21">
        <f t="shared" si="2"/>
        <v>226945</v>
      </c>
      <c r="AN7" s="22">
        <f t="shared" si="3"/>
        <v>1.0371899713647095</v>
      </c>
      <c r="AO7" s="22">
        <f t="shared" si="4"/>
        <v>0.48774320776938634</v>
      </c>
      <c r="AP7" s="21">
        <f t="shared" si="5"/>
        <v>45824</v>
      </c>
      <c r="AQ7" s="21">
        <f t="shared" si="6"/>
        <v>89774</v>
      </c>
      <c r="AR7" s="22">
        <f t="shared" si="7"/>
        <v>0.95910439944134074</v>
      </c>
      <c r="AS7" s="22">
        <f t="shared" si="8"/>
        <v>0.19547150989553075</v>
      </c>
    </row>
    <row r="8" spans="1:63">
      <c r="A8">
        <v>6</v>
      </c>
      <c r="B8" t="s">
        <v>21</v>
      </c>
      <c r="C8" s="2">
        <v>26725</v>
      </c>
      <c r="D8" s="2">
        <v>7907</v>
      </c>
      <c r="E8" s="2">
        <v>6376</v>
      </c>
      <c r="F8" s="2">
        <v>2264</v>
      </c>
      <c r="G8" s="2">
        <v>3571</v>
      </c>
      <c r="H8" s="2">
        <v>8654</v>
      </c>
      <c r="I8" s="2">
        <v>850</v>
      </c>
      <c r="J8" s="2">
        <v>31492</v>
      </c>
      <c r="K8" s="2">
        <v>2277</v>
      </c>
      <c r="L8" s="2">
        <v>3046</v>
      </c>
      <c r="M8" s="2">
        <v>4255</v>
      </c>
      <c r="N8" s="2">
        <v>2470</v>
      </c>
      <c r="O8" s="2">
        <v>3063</v>
      </c>
      <c r="P8" s="2">
        <v>8813</v>
      </c>
      <c r="Q8" s="2">
        <v>37170</v>
      </c>
      <c r="R8" s="2">
        <v>1425</v>
      </c>
      <c r="S8" s="2">
        <v>150357</v>
      </c>
      <c r="T8" s="2">
        <v>63723</v>
      </c>
      <c r="U8" s="2">
        <v>21338</v>
      </c>
      <c r="V8" s="2">
        <v>17928</v>
      </c>
      <c r="W8" s="2">
        <v>9505</v>
      </c>
      <c r="X8" s="2">
        <v>10210</v>
      </c>
      <c r="Y8" s="2">
        <v>19188</v>
      </c>
      <c r="Z8" s="2">
        <v>2714</v>
      </c>
      <c r="AA8" s="2">
        <v>84344</v>
      </c>
      <c r="AB8" s="2">
        <v>7213</v>
      </c>
      <c r="AC8" s="2">
        <v>10247</v>
      </c>
      <c r="AD8" s="2">
        <v>12775</v>
      </c>
      <c r="AE8" s="2">
        <v>9861</v>
      </c>
      <c r="AF8" s="2">
        <v>13694</v>
      </c>
      <c r="AG8" s="2">
        <v>22910</v>
      </c>
      <c r="AH8" s="2">
        <v>70586</v>
      </c>
      <c r="AI8" s="2">
        <v>4548</v>
      </c>
      <c r="AJ8" s="2">
        <v>380785</v>
      </c>
      <c r="AK8" s="2">
        <f t="shared" si="0"/>
        <v>531142</v>
      </c>
      <c r="AL8" s="21">
        <f t="shared" si="1"/>
        <v>64593</v>
      </c>
      <c r="AM8" s="21">
        <f t="shared" si="2"/>
        <v>165995</v>
      </c>
      <c r="AN8" s="22">
        <f t="shared" si="3"/>
        <v>1.5698605112009041</v>
      </c>
      <c r="AO8" s="22">
        <f t="shared" si="4"/>
        <v>0.43413625734737604</v>
      </c>
      <c r="AP8" s="21">
        <f t="shared" si="5"/>
        <v>45337</v>
      </c>
      <c r="AQ8" s="21">
        <f t="shared" si="6"/>
        <v>76352</v>
      </c>
      <c r="AR8" s="22">
        <f t="shared" si="7"/>
        <v>0.68409908022145272</v>
      </c>
      <c r="AS8" s="22">
        <f t="shared" si="8"/>
        <v>0.22910822341294795</v>
      </c>
    </row>
    <row r="9" spans="1:63">
      <c r="A9">
        <v>7</v>
      </c>
      <c r="B9" s="3" t="s">
        <v>26</v>
      </c>
      <c r="C9" s="15">
        <v>14789</v>
      </c>
      <c r="D9" s="4">
        <v>9806</v>
      </c>
      <c r="E9" s="15">
        <v>2202</v>
      </c>
      <c r="F9" s="4">
        <v>1435</v>
      </c>
      <c r="G9" s="4">
        <v>1592</v>
      </c>
      <c r="H9" s="19">
        <v>18454</v>
      </c>
      <c r="I9" s="4">
        <v>440</v>
      </c>
      <c r="J9" s="15">
        <v>14798</v>
      </c>
      <c r="K9" s="4">
        <v>859</v>
      </c>
      <c r="L9" s="4">
        <v>1221</v>
      </c>
      <c r="M9" s="4">
        <v>2122</v>
      </c>
      <c r="N9" s="4">
        <v>1097</v>
      </c>
      <c r="O9" s="4">
        <v>1745</v>
      </c>
      <c r="P9" s="4">
        <v>9666</v>
      </c>
      <c r="Q9" s="19">
        <v>26883</v>
      </c>
      <c r="R9" s="4">
        <v>417</v>
      </c>
      <c r="S9" s="4">
        <v>107525</v>
      </c>
      <c r="T9" s="15">
        <v>30746</v>
      </c>
      <c r="U9" s="4">
        <v>20557</v>
      </c>
      <c r="V9" s="15">
        <v>4933</v>
      </c>
      <c r="W9" s="4">
        <v>5956</v>
      </c>
      <c r="X9" s="4">
        <v>4413</v>
      </c>
      <c r="Y9" s="19">
        <v>29600</v>
      </c>
      <c r="Z9" s="4">
        <v>1677</v>
      </c>
      <c r="AA9" s="15">
        <v>31254</v>
      </c>
      <c r="AB9" s="4">
        <v>2178</v>
      </c>
      <c r="AC9" s="4">
        <v>3447</v>
      </c>
      <c r="AD9" s="4">
        <v>4755</v>
      </c>
      <c r="AE9" s="4">
        <v>4380</v>
      </c>
      <c r="AF9" s="4">
        <v>7159</v>
      </c>
      <c r="AG9" s="4">
        <v>19292</v>
      </c>
      <c r="AH9" s="19">
        <v>46752</v>
      </c>
      <c r="AI9" s="4">
        <v>1180</v>
      </c>
      <c r="AJ9" s="4">
        <v>218277</v>
      </c>
      <c r="AK9" s="4">
        <f t="shared" si="0"/>
        <v>325802</v>
      </c>
      <c r="AL9" s="23">
        <f t="shared" si="1"/>
        <v>31789</v>
      </c>
      <c r="AM9" s="23">
        <f t="shared" si="2"/>
        <v>66933</v>
      </c>
      <c r="AN9" s="11">
        <f t="shared" si="3"/>
        <v>1.1055396520809084</v>
      </c>
      <c r="AO9" s="11">
        <f t="shared" si="4"/>
        <v>0.30301225897938011</v>
      </c>
      <c r="AP9" s="23">
        <f t="shared" si="5"/>
        <v>94075</v>
      </c>
      <c r="AQ9" s="23">
        <f t="shared" si="6"/>
        <v>92595</v>
      </c>
      <c r="AR9" s="11">
        <f t="shared" si="7"/>
        <v>-1.5732128620781292E-2</v>
      </c>
      <c r="AS9" s="11">
        <f t="shared" si="8"/>
        <v>0.57295535325136127</v>
      </c>
    </row>
    <row r="10" spans="1:63">
      <c r="A10">
        <v>8</v>
      </c>
      <c r="B10" s="3" t="s">
        <v>7</v>
      </c>
      <c r="C10" s="15">
        <v>1931</v>
      </c>
      <c r="D10" s="4">
        <v>2659</v>
      </c>
      <c r="E10" s="15">
        <v>421</v>
      </c>
      <c r="F10" s="4">
        <v>94</v>
      </c>
      <c r="G10" s="4">
        <v>467</v>
      </c>
      <c r="H10" s="19">
        <v>4377</v>
      </c>
      <c r="I10" s="4">
        <v>68</v>
      </c>
      <c r="J10" s="15">
        <v>3602</v>
      </c>
      <c r="K10" s="4">
        <v>141</v>
      </c>
      <c r="L10" s="4">
        <v>197</v>
      </c>
      <c r="M10" s="4">
        <v>369</v>
      </c>
      <c r="N10" s="4">
        <v>185</v>
      </c>
      <c r="O10" s="4">
        <v>645</v>
      </c>
      <c r="P10" s="4">
        <v>2562</v>
      </c>
      <c r="Q10" s="19">
        <v>89698</v>
      </c>
      <c r="R10" s="4">
        <v>66</v>
      </c>
      <c r="S10" s="4">
        <v>107481</v>
      </c>
      <c r="T10" s="15">
        <v>3062</v>
      </c>
      <c r="U10" s="4">
        <v>4319</v>
      </c>
      <c r="V10" s="15">
        <v>636</v>
      </c>
      <c r="W10" s="4">
        <v>170</v>
      </c>
      <c r="X10" s="4">
        <v>382</v>
      </c>
      <c r="Y10" s="19">
        <v>4840</v>
      </c>
      <c r="Z10" s="4">
        <v>297</v>
      </c>
      <c r="AA10" s="15">
        <v>4487</v>
      </c>
      <c r="AB10" s="4">
        <v>273</v>
      </c>
      <c r="AC10" s="4">
        <v>380</v>
      </c>
      <c r="AD10" s="4">
        <v>472</v>
      </c>
      <c r="AE10" s="4">
        <v>279</v>
      </c>
      <c r="AF10" s="4">
        <v>470</v>
      </c>
      <c r="AG10" s="4">
        <v>3865</v>
      </c>
      <c r="AH10" s="19">
        <v>87755</v>
      </c>
      <c r="AI10" s="4">
        <v>63</v>
      </c>
      <c r="AJ10" s="4">
        <v>111752</v>
      </c>
      <c r="AK10" s="4">
        <f t="shared" si="0"/>
        <v>219233</v>
      </c>
      <c r="AL10" s="23">
        <f t="shared" si="1"/>
        <v>5954</v>
      </c>
      <c r="AM10" s="23">
        <f t="shared" si="2"/>
        <v>8185</v>
      </c>
      <c r="AN10" s="11">
        <f t="shared" si="3"/>
        <v>0.3747060799462546</v>
      </c>
      <c r="AO10" s="11">
        <f t="shared" si="4"/>
        <v>6.449302796568035E-2</v>
      </c>
      <c r="AP10" s="23">
        <f t="shared" si="5"/>
        <v>32759</v>
      </c>
      <c r="AQ10" s="23">
        <f t="shared" si="6"/>
        <v>32985</v>
      </c>
      <c r="AR10" s="11">
        <f t="shared" si="7"/>
        <v>6.8988674867975211E-3</v>
      </c>
      <c r="AS10" s="11">
        <f t="shared" si="8"/>
        <v>0.29988186085124047</v>
      </c>
    </row>
    <row r="11" spans="1:63">
      <c r="A11">
        <v>9</v>
      </c>
      <c r="B11" s="3" t="s">
        <v>29</v>
      </c>
      <c r="C11" s="15">
        <v>11610</v>
      </c>
      <c r="D11" s="4">
        <v>7446</v>
      </c>
      <c r="E11" s="15">
        <v>1507</v>
      </c>
      <c r="F11" s="4">
        <v>900</v>
      </c>
      <c r="G11" s="4">
        <v>1053</v>
      </c>
      <c r="H11" s="19">
        <v>14165</v>
      </c>
      <c r="I11" s="4">
        <v>246</v>
      </c>
      <c r="J11" s="15">
        <v>11625</v>
      </c>
      <c r="K11" s="4">
        <v>465</v>
      </c>
      <c r="L11" s="4">
        <v>716</v>
      </c>
      <c r="M11" s="4">
        <v>1393</v>
      </c>
      <c r="N11" s="4">
        <v>687</v>
      </c>
      <c r="O11" s="4">
        <v>1119</v>
      </c>
      <c r="P11" s="4">
        <v>7370</v>
      </c>
      <c r="Q11" s="19">
        <v>18594</v>
      </c>
      <c r="R11" s="4">
        <v>194</v>
      </c>
      <c r="S11" s="4">
        <v>79091</v>
      </c>
      <c r="T11" s="15">
        <v>14611</v>
      </c>
      <c r="U11" s="4">
        <v>9561</v>
      </c>
      <c r="V11" s="15">
        <v>2078</v>
      </c>
      <c r="W11" s="4">
        <v>2600</v>
      </c>
      <c r="X11" s="4">
        <v>1851</v>
      </c>
      <c r="Y11" s="19">
        <v>13903</v>
      </c>
      <c r="Z11" s="4">
        <v>595</v>
      </c>
      <c r="AA11" s="15">
        <v>14798</v>
      </c>
      <c r="AB11" s="4">
        <v>756</v>
      </c>
      <c r="AC11" s="4">
        <v>1352</v>
      </c>
      <c r="AD11" s="4">
        <v>1999</v>
      </c>
      <c r="AE11" s="4">
        <v>1839</v>
      </c>
      <c r="AF11" s="4">
        <v>3166</v>
      </c>
      <c r="AG11" s="4">
        <v>8970</v>
      </c>
      <c r="AH11" s="19">
        <v>19082</v>
      </c>
      <c r="AI11" s="4">
        <v>368</v>
      </c>
      <c r="AJ11" s="4">
        <v>97529</v>
      </c>
      <c r="AK11" s="4">
        <f t="shared" si="0"/>
        <v>176620</v>
      </c>
      <c r="AL11" s="23">
        <f t="shared" si="1"/>
        <v>24742</v>
      </c>
      <c r="AM11" s="23">
        <f t="shared" si="2"/>
        <v>31487</v>
      </c>
      <c r="AN11" s="11">
        <f t="shared" si="3"/>
        <v>0.27261336997817476</v>
      </c>
      <c r="AO11" s="11">
        <f t="shared" si="4"/>
        <v>0.31836145396897292</v>
      </c>
      <c r="AP11" s="23">
        <f t="shared" si="5"/>
        <v>8839</v>
      </c>
      <c r="AQ11" s="23">
        <f t="shared" si="6"/>
        <v>14233</v>
      </c>
      <c r="AR11" s="11">
        <f t="shared" si="7"/>
        <v>0.61025002828374253</v>
      </c>
      <c r="AS11" s="11">
        <f t="shared" si="8"/>
        <v>0.13063073264635941</v>
      </c>
    </row>
    <row r="12" spans="1:63">
      <c r="A12">
        <v>10</v>
      </c>
      <c r="B12" t="s">
        <v>13</v>
      </c>
      <c r="C12" s="2">
        <v>16535</v>
      </c>
      <c r="D12" s="2">
        <v>3817</v>
      </c>
      <c r="E12" s="2">
        <v>2461</v>
      </c>
      <c r="F12" s="2">
        <v>1477</v>
      </c>
      <c r="G12" s="2">
        <v>1772</v>
      </c>
      <c r="H12" s="2">
        <v>2983</v>
      </c>
      <c r="I12" s="2">
        <v>525</v>
      </c>
      <c r="J12" s="2">
        <v>15666</v>
      </c>
      <c r="K12" s="2">
        <v>564</v>
      </c>
      <c r="L12" s="2">
        <v>1324</v>
      </c>
      <c r="M12" s="2">
        <v>1340</v>
      </c>
      <c r="N12" s="2">
        <v>1172</v>
      </c>
      <c r="O12" s="2">
        <v>907</v>
      </c>
      <c r="P12" s="2">
        <v>3062</v>
      </c>
      <c r="Q12" s="2">
        <v>5856</v>
      </c>
      <c r="R12" s="2">
        <v>316</v>
      </c>
      <c r="S12" s="2">
        <v>59776</v>
      </c>
      <c r="T12" s="2">
        <v>26613</v>
      </c>
      <c r="U12" s="2">
        <v>6890</v>
      </c>
      <c r="V12" s="2">
        <v>4876</v>
      </c>
      <c r="W12" s="2">
        <v>3801</v>
      </c>
      <c r="X12" s="2">
        <v>3573</v>
      </c>
      <c r="Y12" s="2">
        <v>4353</v>
      </c>
      <c r="Z12" s="2">
        <v>1042</v>
      </c>
      <c r="AA12" s="2">
        <v>26663</v>
      </c>
      <c r="AB12" s="2">
        <v>1420</v>
      </c>
      <c r="AC12" s="2">
        <v>2864</v>
      </c>
      <c r="AD12" s="2">
        <v>3355</v>
      </c>
      <c r="AE12" s="2">
        <v>3122</v>
      </c>
      <c r="AF12" s="2">
        <v>3011</v>
      </c>
      <c r="AG12" s="2">
        <v>5455</v>
      </c>
      <c r="AH12" s="2">
        <v>9880</v>
      </c>
      <c r="AI12" s="2">
        <v>554</v>
      </c>
      <c r="AJ12" s="2">
        <v>107471</v>
      </c>
      <c r="AK12" s="2">
        <f t="shared" si="0"/>
        <v>167247</v>
      </c>
      <c r="AL12" s="21">
        <f t="shared" si="1"/>
        <v>34662</v>
      </c>
      <c r="AM12" s="21">
        <f t="shared" si="2"/>
        <v>58152</v>
      </c>
      <c r="AN12" s="22">
        <f t="shared" si="3"/>
        <v>0.67768738099359527</v>
      </c>
      <c r="AO12" s="22">
        <f t="shared" si="4"/>
        <v>0.55495165832570992</v>
      </c>
      <c r="AP12" s="21">
        <f t="shared" si="5"/>
        <v>23208</v>
      </c>
      <c r="AQ12" s="21">
        <f t="shared" si="6"/>
        <v>42562</v>
      </c>
      <c r="AR12" s="22">
        <f t="shared" si="7"/>
        <v>0.83393657359531193</v>
      </c>
      <c r="AS12" s="22">
        <f t="shared" si="8"/>
        <v>0.39325070105891285</v>
      </c>
    </row>
    <row r="13" spans="1:63">
      <c r="A13">
        <v>11</v>
      </c>
      <c r="B13" t="s">
        <v>5</v>
      </c>
      <c r="C13" s="2">
        <v>3277</v>
      </c>
      <c r="D13" s="2">
        <v>2533</v>
      </c>
      <c r="E13" s="2">
        <v>610</v>
      </c>
      <c r="F13" s="2">
        <v>323</v>
      </c>
      <c r="G13" s="2">
        <v>547</v>
      </c>
      <c r="H13" s="2">
        <v>10340</v>
      </c>
      <c r="I13" s="2">
        <v>232</v>
      </c>
      <c r="J13" s="2">
        <v>4292</v>
      </c>
      <c r="K13" s="2">
        <v>317</v>
      </c>
      <c r="L13" s="2">
        <v>312</v>
      </c>
      <c r="M13" s="2">
        <v>695</v>
      </c>
      <c r="N13" s="2">
        <v>260</v>
      </c>
      <c r="O13" s="2">
        <v>512</v>
      </c>
      <c r="P13" s="2">
        <v>2985</v>
      </c>
      <c r="Q13" s="2">
        <v>12868</v>
      </c>
      <c r="R13" s="2">
        <v>111</v>
      </c>
      <c r="S13" s="2">
        <v>40215</v>
      </c>
      <c r="T13" s="2">
        <v>8547</v>
      </c>
      <c r="U13" s="2">
        <v>6580</v>
      </c>
      <c r="V13" s="2">
        <v>1579</v>
      </c>
      <c r="W13" s="2">
        <v>1311</v>
      </c>
      <c r="X13" s="2">
        <v>1503</v>
      </c>
      <c r="Y13" s="2">
        <v>17161</v>
      </c>
      <c r="Z13" s="2">
        <v>527</v>
      </c>
      <c r="AA13" s="2">
        <v>12103</v>
      </c>
      <c r="AB13" s="2">
        <v>774</v>
      </c>
      <c r="AC13" s="2">
        <v>1714</v>
      </c>
      <c r="AD13" s="2">
        <v>2032</v>
      </c>
      <c r="AE13" s="2">
        <v>1313</v>
      </c>
      <c r="AF13" s="2">
        <v>1896</v>
      </c>
      <c r="AG13" s="2">
        <v>7221</v>
      </c>
      <c r="AH13" s="2">
        <v>25401</v>
      </c>
      <c r="AI13" s="2">
        <v>380</v>
      </c>
      <c r="AJ13" s="2">
        <v>90042</v>
      </c>
      <c r="AK13" s="2">
        <f t="shared" si="0"/>
        <v>130257</v>
      </c>
      <c r="AL13" s="21">
        <f t="shared" si="1"/>
        <v>8179</v>
      </c>
      <c r="AM13" s="21">
        <f t="shared" si="2"/>
        <v>22229</v>
      </c>
      <c r="AN13" s="22">
        <f t="shared" si="3"/>
        <v>1.717813913681379</v>
      </c>
      <c r="AO13" s="22">
        <f t="shared" si="4"/>
        <v>0.23344618715308965</v>
      </c>
      <c r="AP13" s="21">
        <f t="shared" si="5"/>
        <v>6844</v>
      </c>
      <c r="AQ13" s="21">
        <f t="shared" si="6"/>
        <v>9565</v>
      </c>
      <c r="AR13" s="22">
        <f t="shared" si="7"/>
        <v>0.39757451782583286</v>
      </c>
      <c r="AS13" s="22">
        <f t="shared" si="8"/>
        <v>0.12597403594432544</v>
      </c>
    </row>
    <row r="14" spans="1:63">
      <c r="A14">
        <v>12</v>
      </c>
      <c r="B14" t="s">
        <v>22</v>
      </c>
      <c r="C14" s="2">
        <v>12491</v>
      </c>
      <c r="D14" s="2">
        <v>2507</v>
      </c>
      <c r="E14" s="2">
        <v>1205</v>
      </c>
      <c r="F14" s="2">
        <v>863</v>
      </c>
      <c r="G14" s="2">
        <v>1487</v>
      </c>
      <c r="H14" s="2">
        <v>1818</v>
      </c>
      <c r="I14" s="2">
        <v>381</v>
      </c>
      <c r="J14" s="2">
        <v>9209</v>
      </c>
      <c r="K14" s="2">
        <v>415</v>
      </c>
      <c r="L14" s="2">
        <v>648</v>
      </c>
      <c r="M14" s="2">
        <v>1048</v>
      </c>
      <c r="N14" s="2">
        <v>645</v>
      </c>
      <c r="O14" s="2">
        <v>701</v>
      </c>
      <c r="P14" s="2">
        <v>2159</v>
      </c>
      <c r="Q14" s="2">
        <v>5026</v>
      </c>
      <c r="R14" s="2">
        <v>536</v>
      </c>
      <c r="S14" s="2">
        <v>41139</v>
      </c>
      <c r="T14" s="2">
        <v>16457</v>
      </c>
      <c r="U14" s="2">
        <v>3836</v>
      </c>
      <c r="V14" s="2">
        <v>2014</v>
      </c>
      <c r="W14" s="2">
        <v>1825</v>
      </c>
      <c r="X14" s="2">
        <v>2147</v>
      </c>
      <c r="Y14" s="2">
        <v>2504</v>
      </c>
      <c r="Z14" s="2">
        <v>967</v>
      </c>
      <c r="AA14" s="2">
        <v>14037</v>
      </c>
      <c r="AB14" s="2">
        <v>803</v>
      </c>
      <c r="AC14" s="2">
        <v>1390</v>
      </c>
      <c r="AD14" s="2">
        <v>1952</v>
      </c>
      <c r="AE14" s="2">
        <v>1325</v>
      </c>
      <c r="AF14" s="2">
        <v>1604</v>
      </c>
      <c r="AG14" s="2">
        <v>3570</v>
      </c>
      <c r="AH14" s="2">
        <v>7061</v>
      </c>
      <c r="AI14" s="2">
        <v>670</v>
      </c>
      <c r="AJ14" s="2">
        <v>62162</v>
      </c>
      <c r="AK14" s="2">
        <f t="shared" si="0"/>
        <v>103301</v>
      </c>
      <c r="AL14" s="21">
        <f t="shared" si="1"/>
        <v>22905</v>
      </c>
      <c r="AM14" s="21">
        <f t="shared" si="2"/>
        <v>32508</v>
      </c>
      <c r="AN14" s="22">
        <f t="shared" si="3"/>
        <v>0.41925343811394894</v>
      </c>
      <c r="AO14" s="22">
        <f t="shared" si="4"/>
        <v>0.53642268709886642</v>
      </c>
      <c r="AP14" s="21">
        <f t="shared" si="5"/>
        <v>8803</v>
      </c>
      <c r="AQ14" s="21">
        <f t="shared" si="6"/>
        <v>17426</v>
      </c>
      <c r="AR14" s="22">
        <f t="shared" si="7"/>
        <v>0.97955242530955355</v>
      </c>
      <c r="AS14" s="22">
        <f t="shared" si="8"/>
        <v>0.25390848104084179</v>
      </c>
    </row>
    <row r="15" spans="1:63">
      <c r="A15">
        <v>13</v>
      </c>
      <c r="B15" t="s">
        <v>48</v>
      </c>
      <c r="C15" s="2">
        <v>5034</v>
      </c>
      <c r="D15" s="2">
        <v>1575</v>
      </c>
      <c r="E15" s="2">
        <v>1185</v>
      </c>
      <c r="F15" s="2">
        <v>363</v>
      </c>
      <c r="G15" s="2">
        <v>692</v>
      </c>
      <c r="H15" s="2">
        <v>1560</v>
      </c>
      <c r="I15" s="2">
        <v>173</v>
      </c>
      <c r="J15" s="2">
        <v>5808</v>
      </c>
      <c r="K15" s="2">
        <v>433</v>
      </c>
      <c r="L15" s="2">
        <v>562</v>
      </c>
      <c r="M15" s="2">
        <v>791</v>
      </c>
      <c r="N15" s="2">
        <v>476</v>
      </c>
      <c r="O15" s="2">
        <v>670</v>
      </c>
      <c r="P15" s="2">
        <v>1790</v>
      </c>
      <c r="Q15" s="2">
        <v>7243</v>
      </c>
      <c r="R15" s="2">
        <v>250</v>
      </c>
      <c r="S15" s="2">
        <v>28606</v>
      </c>
      <c r="T15" s="2">
        <v>12520</v>
      </c>
      <c r="U15" s="2">
        <v>4246</v>
      </c>
      <c r="V15" s="2">
        <v>3207</v>
      </c>
      <c r="W15" s="2">
        <v>1669</v>
      </c>
      <c r="X15" s="2">
        <v>1834</v>
      </c>
      <c r="Y15" s="2">
        <v>3601</v>
      </c>
      <c r="Z15" s="2">
        <v>508</v>
      </c>
      <c r="AA15" s="2">
        <v>15766</v>
      </c>
      <c r="AB15" s="2">
        <v>1380</v>
      </c>
      <c r="AC15" s="2">
        <v>1965</v>
      </c>
      <c r="AD15" s="2">
        <v>2433</v>
      </c>
      <c r="AE15" s="2">
        <v>1807</v>
      </c>
      <c r="AF15" s="2">
        <v>2499</v>
      </c>
      <c r="AG15" s="2">
        <v>4701</v>
      </c>
      <c r="AH15" s="2">
        <v>13825</v>
      </c>
      <c r="AI15" s="2">
        <v>952</v>
      </c>
      <c r="AJ15" s="2">
        <v>72913</v>
      </c>
      <c r="AK15" s="2">
        <f t="shared" si="0"/>
        <v>101519</v>
      </c>
      <c r="AL15" s="21">
        <f t="shared" si="1"/>
        <v>12027</v>
      </c>
      <c r="AM15" s="21">
        <f t="shared" si="2"/>
        <v>31493</v>
      </c>
      <c r="AN15" s="22">
        <f t="shared" si="3"/>
        <v>1.6185249854494055</v>
      </c>
      <c r="AO15" s="22">
        <f t="shared" si="4"/>
        <v>0.4286882258493484</v>
      </c>
      <c r="AP15" s="21">
        <f t="shared" si="5"/>
        <v>30982</v>
      </c>
      <c r="AQ15" s="21">
        <f t="shared" si="6"/>
        <v>33974</v>
      </c>
      <c r="AR15" s="22">
        <f t="shared" si="7"/>
        <v>9.6572203214769864E-2</v>
      </c>
      <c r="AS15" s="22">
        <f t="shared" si="8"/>
        <v>0.6398408179749604</v>
      </c>
    </row>
    <row r="16" spans="1:63">
      <c r="A16">
        <v>14</v>
      </c>
      <c r="B16" s="3" t="s">
        <v>44</v>
      </c>
      <c r="C16" s="15">
        <v>3596</v>
      </c>
      <c r="D16" s="4">
        <v>509</v>
      </c>
      <c r="E16" s="15">
        <v>432</v>
      </c>
      <c r="F16" s="4">
        <v>118</v>
      </c>
      <c r="G16" s="4">
        <v>147</v>
      </c>
      <c r="H16" s="19">
        <v>1732</v>
      </c>
      <c r="I16" s="4">
        <v>36</v>
      </c>
      <c r="J16" s="15">
        <v>3474</v>
      </c>
      <c r="K16" s="4">
        <v>218</v>
      </c>
      <c r="L16" s="4">
        <v>109</v>
      </c>
      <c r="M16" s="4">
        <v>281</v>
      </c>
      <c r="N16" s="4">
        <v>141</v>
      </c>
      <c r="O16" s="4">
        <v>220</v>
      </c>
      <c r="P16" s="4">
        <v>1329</v>
      </c>
      <c r="Q16" s="19">
        <v>29250</v>
      </c>
      <c r="R16" s="4">
        <v>308</v>
      </c>
      <c r="S16" s="4">
        <v>41899</v>
      </c>
      <c r="T16" s="15">
        <v>4138</v>
      </c>
      <c r="U16" s="4">
        <v>1031</v>
      </c>
      <c r="V16" s="15">
        <v>731</v>
      </c>
      <c r="W16" s="4">
        <v>214</v>
      </c>
      <c r="X16" s="4">
        <v>201</v>
      </c>
      <c r="Y16" s="19">
        <v>2449</v>
      </c>
      <c r="Z16" s="4">
        <v>77</v>
      </c>
      <c r="AA16" s="15">
        <v>5152</v>
      </c>
      <c r="AB16" s="4">
        <v>203</v>
      </c>
      <c r="AC16" s="4">
        <v>250</v>
      </c>
      <c r="AD16" s="4">
        <v>484</v>
      </c>
      <c r="AE16" s="4">
        <v>299</v>
      </c>
      <c r="AF16" s="4">
        <v>338</v>
      </c>
      <c r="AG16" s="4">
        <v>2155</v>
      </c>
      <c r="AH16" s="19">
        <v>31525</v>
      </c>
      <c r="AI16" s="4">
        <v>426</v>
      </c>
      <c r="AJ16" s="4">
        <v>49673</v>
      </c>
      <c r="AK16" s="4">
        <f t="shared" si="0"/>
        <v>91572</v>
      </c>
      <c r="AL16" s="23">
        <f t="shared" si="1"/>
        <v>7502</v>
      </c>
      <c r="AM16" s="23">
        <f t="shared" si="2"/>
        <v>10021</v>
      </c>
      <c r="AN16" s="11">
        <f t="shared" si="3"/>
        <v>0.33577712609970672</v>
      </c>
      <c r="AO16" s="11">
        <f t="shared" si="4"/>
        <v>0.19135762023325908</v>
      </c>
      <c r="AP16" s="23">
        <f t="shared" si="5"/>
        <v>9902</v>
      </c>
      <c r="AQ16" s="23">
        <f t="shared" si="6"/>
        <v>12690</v>
      </c>
      <c r="AR16" s="11">
        <f t="shared" si="7"/>
        <v>0.28155928095334276</v>
      </c>
      <c r="AS16" s="11">
        <f t="shared" si="8"/>
        <v>0.24671296902983444</v>
      </c>
    </row>
    <row r="17" spans="1:45">
      <c r="A17">
        <v>15</v>
      </c>
      <c r="B17" t="s">
        <v>3</v>
      </c>
      <c r="C17" s="2">
        <v>6157</v>
      </c>
      <c r="D17" s="2">
        <v>2218</v>
      </c>
      <c r="E17" s="2">
        <v>1142</v>
      </c>
      <c r="F17" s="2">
        <v>478</v>
      </c>
      <c r="G17" s="2">
        <v>660</v>
      </c>
      <c r="H17" s="2">
        <v>1593</v>
      </c>
      <c r="I17" s="2">
        <v>158</v>
      </c>
      <c r="J17" s="2">
        <v>7198</v>
      </c>
      <c r="K17" s="2">
        <v>208</v>
      </c>
      <c r="L17" s="2">
        <v>472</v>
      </c>
      <c r="M17" s="2">
        <v>914</v>
      </c>
      <c r="N17" s="2">
        <v>466</v>
      </c>
      <c r="O17" s="2">
        <v>475</v>
      </c>
      <c r="P17" s="2">
        <v>1913</v>
      </c>
      <c r="Q17" s="2">
        <v>8309</v>
      </c>
      <c r="R17" s="2">
        <v>129</v>
      </c>
      <c r="S17" s="2">
        <v>32489</v>
      </c>
      <c r="T17" s="2">
        <v>9940</v>
      </c>
      <c r="U17" s="2">
        <v>4344</v>
      </c>
      <c r="V17" s="2">
        <v>2271</v>
      </c>
      <c r="W17" s="2">
        <v>1242</v>
      </c>
      <c r="X17" s="2">
        <v>1574</v>
      </c>
      <c r="Y17" s="2">
        <v>2409</v>
      </c>
      <c r="Z17" s="2">
        <v>653</v>
      </c>
      <c r="AA17" s="2">
        <v>13341</v>
      </c>
      <c r="AB17" s="2">
        <v>634</v>
      </c>
      <c r="AC17" s="2">
        <v>1362</v>
      </c>
      <c r="AD17" s="2">
        <v>1806</v>
      </c>
      <c r="AE17" s="2">
        <v>1157</v>
      </c>
      <c r="AF17" s="2">
        <v>1177</v>
      </c>
      <c r="AG17" s="2">
        <v>3643</v>
      </c>
      <c r="AH17" s="2">
        <v>10281</v>
      </c>
      <c r="AI17" s="2">
        <v>247</v>
      </c>
      <c r="AJ17" s="2">
        <v>56083</v>
      </c>
      <c r="AK17" s="2">
        <f t="shared" si="0"/>
        <v>88572</v>
      </c>
      <c r="AL17" s="21">
        <f t="shared" si="1"/>
        <v>14497</v>
      </c>
      <c r="AM17" s="21">
        <f t="shared" si="2"/>
        <v>25552</v>
      </c>
      <c r="AN17" s="22">
        <f t="shared" si="3"/>
        <v>0.76257156653100644</v>
      </c>
      <c r="AO17" s="22">
        <f t="shared" si="4"/>
        <v>0.45216321185024611</v>
      </c>
      <c r="AP17" s="21">
        <f t="shared" si="5"/>
        <v>6045</v>
      </c>
      <c r="AQ17" s="21">
        <f t="shared" si="6"/>
        <v>7432</v>
      </c>
      <c r="AR17" s="22">
        <f t="shared" si="7"/>
        <v>0.2294458229942101</v>
      </c>
      <c r="AS17" s="22">
        <f t="shared" si="8"/>
        <v>0.15215869575034999</v>
      </c>
    </row>
    <row r="18" spans="1:45">
      <c r="A18">
        <v>16</v>
      </c>
      <c r="B18" s="3" t="s">
        <v>18</v>
      </c>
      <c r="C18" s="15">
        <v>6332</v>
      </c>
      <c r="D18" s="4">
        <v>1693</v>
      </c>
      <c r="E18" s="15">
        <v>1148</v>
      </c>
      <c r="F18" s="4">
        <v>286</v>
      </c>
      <c r="G18" s="4">
        <v>749</v>
      </c>
      <c r="H18" s="19">
        <v>1211</v>
      </c>
      <c r="I18" s="4">
        <v>262</v>
      </c>
      <c r="J18" s="15">
        <v>6512</v>
      </c>
      <c r="K18" s="4">
        <v>223</v>
      </c>
      <c r="L18" s="4">
        <v>405</v>
      </c>
      <c r="M18" s="4">
        <v>885</v>
      </c>
      <c r="N18" s="4">
        <v>299</v>
      </c>
      <c r="O18" s="4">
        <v>413</v>
      </c>
      <c r="P18" s="4">
        <v>1598</v>
      </c>
      <c r="Q18" s="19">
        <v>4834</v>
      </c>
      <c r="R18" s="4">
        <v>172</v>
      </c>
      <c r="S18" s="4">
        <v>27021</v>
      </c>
      <c r="T18" s="15">
        <v>13988</v>
      </c>
      <c r="U18" s="4">
        <v>3490</v>
      </c>
      <c r="V18" s="15">
        <v>2916</v>
      </c>
      <c r="W18" s="4">
        <v>881</v>
      </c>
      <c r="X18" s="4">
        <v>1933</v>
      </c>
      <c r="Y18" s="19">
        <v>1689</v>
      </c>
      <c r="Z18" s="4">
        <v>447</v>
      </c>
      <c r="AA18" s="15">
        <v>16070</v>
      </c>
      <c r="AB18" s="4">
        <v>665</v>
      </c>
      <c r="AC18" s="4">
        <v>1297</v>
      </c>
      <c r="AD18" s="4">
        <v>2008</v>
      </c>
      <c r="AE18" s="4">
        <v>919</v>
      </c>
      <c r="AF18" s="4">
        <v>1021</v>
      </c>
      <c r="AG18" s="4">
        <v>2801</v>
      </c>
      <c r="AH18" s="19">
        <v>5743</v>
      </c>
      <c r="AI18" s="4">
        <v>380</v>
      </c>
      <c r="AJ18" s="4">
        <v>56248</v>
      </c>
      <c r="AK18" s="4">
        <f t="shared" si="0"/>
        <v>83269</v>
      </c>
      <c r="AL18" s="23">
        <f t="shared" si="1"/>
        <v>13992</v>
      </c>
      <c r="AM18" s="23">
        <f t="shared" si="2"/>
        <v>32974</v>
      </c>
      <c r="AN18" s="11">
        <f t="shared" si="3"/>
        <v>1.3566323613493425</v>
      </c>
      <c r="AO18" s="11">
        <f t="shared" si="4"/>
        <v>0.56402742917532334</v>
      </c>
      <c r="AP18" s="23">
        <f t="shared" si="5"/>
        <v>7824</v>
      </c>
      <c r="AQ18" s="23">
        <f t="shared" si="6"/>
        <v>11636</v>
      </c>
      <c r="AR18" s="11">
        <f t="shared" si="7"/>
        <v>0.48721881390593047</v>
      </c>
      <c r="AS18" s="11">
        <f t="shared" si="8"/>
        <v>0.23370041672170916</v>
      </c>
    </row>
    <row r="19" spans="1:45">
      <c r="A19">
        <v>17</v>
      </c>
      <c r="B19" t="s">
        <v>4</v>
      </c>
      <c r="C19" s="2">
        <v>4426</v>
      </c>
      <c r="D19" s="2">
        <v>2263</v>
      </c>
      <c r="E19" s="2">
        <v>669</v>
      </c>
      <c r="F19" s="2">
        <v>339</v>
      </c>
      <c r="G19" s="2">
        <v>582</v>
      </c>
      <c r="H19" s="2">
        <v>2561</v>
      </c>
      <c r="I19" s="2">
        <v>118</v>
      </c>
      <c r="J19" s="2">
        <v>5057</v>
      </c>
      <c r="K19" s="2">
        <v>239</v>
      </c>
      <c r="L19" s="2">
        <v>337</v>
      </c>
      <c r="M19" s="2">
        <v>660</v>
      </c>
      <c r="N19" s="2">
        <v>323</v>
      </c>
      <c r="O19" s="2">
        <v>375</v>
      </c>
      <c r="P19" s="2">
        <v>1852</v>
      </c>
      <c r="Q19" s="2">
        <v>5263</v>
      </c>
      <c r="R19" s="2">
        <v>102</v>
      </c>
      <c r="S19" s="2">
        <v>25165</v>
      </c>
      <c r="T19" s="2">
        <v>8463</v>
      </c>
      <c r="U19" s="2">
        <v>4271</v>
      </c>
      <c r="V19" s="2">
        <v>1710</v>
      </c>
      <c r="W19" s="2">
        <v>1524</v>
      </c>
      <c r="X19" s="2">
        <v>1380</v>
      </c>
      <c r="Y19" s="2">
        <v>4060</v>
      </c>
      <c r="Z19" s="2">
        <v>465</v>
      </c>
      <c r="AA19" s="2">
        <v>10711</v>
      </c>
      <c r="AB19" s="2">
        <v>531</v>
      </c>
      <c r="AC19" s="2">
        <v>1069</v>
      </c>
      <c r="AD19" s="2">
        <v>1372</v>
      </c>
      <c r="AE19" s="2">
        <v>1255</v>
      </c>
      <c r="AF19" s="2">
        <v>1613</v>
      </c>
      <c r="AG19" s="2">
        <v>3470</v>
      </c>
      <c r="AH19" s="2">
        <v>7576</v>
      </c>
      <c r="AI19" s="2">
        <v>222</v>
      </c>
      <c r="AJ19" s="2">
        <v>49691</v>
      </c>
      <c r="AK19" s="2">
        <f t="shared" si="0"/>
        <v>74856</v>
      </c>
      <c r="AL19" s="21">
        <f t="shared" si="1"/>
        <v>10152</v>
      </c>
      <c r="AM19" s="21">
        <f t="shared" si="2"/>
        <v>20884</v>
      </c>
      <c r="AN19" s="22">
        <f t="shared" si="3"/>
        <v>1.0571315996847912</v>
      </c>
      <c r="AO19" s="22">
        <f t="shared" si="4"/>
        <v>0.41460938334936409</v>
      </c>
      <c r="AP19" s="21">
        <f t="shared" si="5"/>
        <v>15346</v>
      </c>
      <c r="AQ19" s="21">
        <f t="shared" si="6"/>
        <v>18307</v>
      </c>
      <c r="AR19" s="22">
        <f t="shared" si="7"/>
        <v>0.19294930274990227</v>
      </c>
      <c r="AS19" s="22">
        <f t="shared" si="8"/>
        <v>0.44956984076092765</v>
      </c>
    </row>
    <row r="20" spans="1:45">
      <c r="A20">
        <v>18</v>
      </c>
      <c r="B20" t="s">
        <v>41</v>
      </c>
      <c r="C20" s="2">
        <v>3889</v>
      </c>
      <c r="D20" s="2">
        <v>1424</v>
      </c>
      <c r="E20" s="2">
        <v>646</v>
      </c>
      <c r="F20" s="2">
        <v>349</v>
      </c>
      <c r="G20" s="2">
        <v>393</v>
      </c>
      <c r="H20" s="2">
        <v>2854</v>
      </c>
      <c r="I20" s="2">
        <v>105</v>
      </c>
      <c r="J20" s="2">
        <v>3912</v>
      </c>
      <c r="K20" s="2">
        <v>277</v>
      </c>
      <c r="L20" s="2">
        <v>459</v>
      </c>
      <c r="M20" s="2">
        <v>538</v>
      </c>
      <c r="N20" s="2">
        <v>306</v>
      </c>
      <c r="O20" s="2">
        <v>627</v>
      </c>
      <c r="P20" s="2">
        <v>2142</v>
      </c>
      <c r="Q20" s="2">
        <v>12492</v>
      </c>
      <c r="R20" s="2">
        <v>427</v>
      </c>
      <c r="S20" s="2">
        <v>30837</v>
      </c>
      <c r="T20" s="2">
        <v>5396</v>
      </c>
      <c r="U20" s="2">
        <v>2037</v>
      </c>
      <c r="V20" s="2">
        <v>1065</v>
      </c>
      <c r="W20" s="2">
        <v>743</v>
      </c>
      <c r="X20" s="2">
        <v>901</v>
      </c>
      <c r="Y20" s="2">
        <v>3515</v>
      </c>
      <c r="Z20" s="2">
        <v>196</v>
      </c>
      <c r="AA20" s="2">
        <v>5858</v>
      </c>
      <c r="AB20" s="2">
        <v>507</v>
      </c>
      <c r="AC20" s="2">
        <v>686</v>
      </c>
      <c r="AD20" s="2">
        <v>894</v>
      </c>
      <c r="AE20" s="2">
        <v>539</v>
      </c>
      <c r="AF20" s="2">
        <v>1095</v>
      </c>
      <c r="AG20" s="2">
        <v>2907</v>
      </c>
      <c r="AH20" s="2">
        <v>14792</v>
      </c>
      <c r="AI20" s="2">
        <v>620</v>
      </c>
      <c r="AJ20" s="2">
        <v>41749</v>
      </c>
      <c r="AK20" s="2">
        <f t="shared" si="0"/>
        <v>72586</v>
      </c>
      <c r="AL20" s="21">
        <f t="shared" si="1"/>
        <v>8447</v>
      </c>
      <c r="AM20" s="21">
        <f t="shared" si="2"/>
        <v>12319</v>
      </c>
      <c r="AN20" s="22">
        <f t="shared" si="3"/>
        <v>0.45838759322836509</v>
      </c>
      <c r="AO20" s="22">
        <f t="shared" si="4"/>
        <v>0.28608822637974263</v>
      </c>
      <c r="AP20" s="21">
        <f t="shared" si="5"/>
        <v>3943</v>
      </c>
      <c r="AQ20" s="21">
        <f t="shared" si="6"/>
        <v>6634</v>
      </c>
      <c r="AR20" s="22">
        <f t="shared" si="7"/>
        <v>0.68247527263504948</v>
      </c>
      <c r="AS20" s="22">
        <f t="shared" si="8"/>
        <v>0.14571680489350564</v>
      </c>
    </row>
    <row r="21" spans="1:45">
      <c r="A21">
        <v>19</v>
      </c>
      <c r="B21" t="s">
        <v>30</v>
      </c>
      <c r="C21" s="2">
        <v>6928</v>
      </c>
      <c r="D21" s="2">
        <v>1519</v>
      </c>
      <c r="E21" s="2">
        <v>661</v>
      </c>
      <c r="F21" s="2">
        <v>393</v>
      </c>
      <c r="G21" s="2">
        <v>601</v>
      </c>
      <c r="H21" s="2">
        <v>1296</v>
      </c>
      <c r="I21" s="2">
        <v>143</v>
      </c>
      <c r="J21" s="2">
        <v>5853</v>
      </c>
      <c r="K21" s="2">
        <v>155</v>
      </c>
      <c r="L21" s="2">
        <v>255</v>
      </c>
      <c r="M21" s="2">
        <v>544</v>
      </c>
      <c r="N21" s="2">
        <v>267</v>
      </c>
      <c r="O21" s="2">
        <v>279</v>
      </c>
      <c r="P21" s="2">
        <v>1326</v>
      </c>
      <c r="Q21" s="2">
        <v>2647</v>
      </c>
      <c r="R21" s="2">
        <v>141</v>
      </c>
      <c r="S21" s="2">
        <v>23010</v>
      </c>
      <c r="T21" s="2">
        <v>11621</v>
      </c>
      <c r="U21" s="2">
        <v>3097</v>
      </c>
      <c r="V21" s="2">
        <v>1510</v>
      </c>
      <c r="W21" s="2">
        <v>1321</v>
      </c>
      <c r="X21" s="2">
        <v>1182</v>
      </c>
      <c r="Y21" s="2">
        <v>2270</v>
      </c>
      <c r="Z21" s="2">
        <v>393</v>
      </c>
      <c r="AA21" s="2">
        <v>11195</v>
      </c>
      <c r="AB21" s="2">
        <v>458</v>
      </c>
      <c r="AC21" s="2">
        <v>830</v>
      </c>
      <c r="AD21" s="2">
        <v>1130</v>
      </c>
      <c r="AE21" s="2">
        <v>846</v>
      </c>
      <c r="AF21" s="2">
        <v>914</v>
      </c>
      <c r="AG21" s="2">
        <v>2839</v>
      </c>
      <c r="AH21" s="2">
        <v>4364</v>
      </c>
      <c r="AI21" s="2">
        <v>258</v>
      </c>
      <c r="AJ21" s="2">
        <v>44228</v>
      </c>
      <c r="AK21" s="2">
        <f t="shared" si="0"/>
        <v>67238</v>
      </c>
      <c r="AL21" s="21">
        <f t="shared" si="1"/>
        <v>13442</v>
      </c>
      <c r="AM21" s="21">
        <f t="shared" si="2"/>
        <v>24326</v>
      </c>
      <c r="AN21" s="22">
        <f t="shared" si="3"/>
        <v>0.80970093736051185</v>
      </c>
      <c r="AO21" s="22">
        <f t="shared" si="4"/>
        <v>0.56170617805407652</v>
      </c>
      <c r="AP21" s="21">
        <f t="shared" si="5"/>
        <v>13367</v>
      </c>
      <c r="AQ21" s="21">
        <f t="shared" si="6"/>
        <v>17558</v>
      </c>
      <c r="AR21" s="22">
        <f t="shared" si="7"/>
        <v>0.31353332834592651</v>
      </c>
      <c r="AS21" s="22">
        <f t="shared" si="8"/>
        <v>0.45993337101044052</v>
      </c>
    </row>
    <row r="22" spans="1:45">
      <c r="A22">
        <v>20</v>
      </c>
      <c r="B22" t="s">
        <v>10</v>
      </c>
      <c r="C22" s="2">
        <v>2453</v>
      </c>
      <c r="D22" s="2">
        <v>707</v>
      </c>
      <c r="E22" s="2">
        <v>307</v>
      </c>
      <c r="F22" s="2">
        <v>117</v>
      </c>
      <c r="G22" s="2">
        <v>281</v>
      </c>
      <c r="H22" s="2">
        <v>2120</v>
      </c>
      <c r="I22" s="2">
        <v>100</v>
      </c>
      <c r="J22" s="2">
        <v>3142</v>
      </c>
      <c r="K22" s="2">
        <v>166</v>
      </c>
      <c r="L22" s="2">
        <v>192</v>
      </c>
      <c r="M22" s="2">
        <v>368</v>
      </c>
      <c r="N22" s="2">
        <v>459</v>
      </c>
      <c r="O22" s="2">
        <v>451</v>
      </c>
      <c r="P22" s="2">
        <v>2159</v>
      </c>
      <c r="Q22" s="2">
        <v>11247</v>
      </c>
      <c r="R22" s="2">
        <v>120</v>
      </c>
      <c r="S22" s="2">
        <v>24388</v>
      </c>
      <c r="T22" s="2">
        <v>5003</v>
      </c>
      <c r="U22" s="2">
        <v>1231</v>
      </c>
      <c r="V22" s="2">
        <v>745</v>
      </c>
      <c r="W22" s="2">
        <v>204</v>
      </c>
      <c r="X22" s="2">
        <v>628</v>
      </c>
      <c r="Y22" s="2">
        <v>2747</v>
      </c>
      <c r="Z22" s="2">
        <v>188</v>
      </c>
      <c r="AA22" s="2">
        <v>5340</v>
      </c>
      <c r="AB22" s="2">
        <v>369</v>
      </c>
      <c r="AC22" s="2">
        <v>472</v>
      </c>
      <c r="AD22" s="2">
        <v>545</v>
      </c>
      <c r="AE22" s="2">
        <v>451</v>
      </c>
      <c r="AF22" s="2">
        <v>769</v>
      </c>
      <c r="AG22" s="2">
        <v>3059</v>
      </c>
      <c r="AH22" s="2">
        <v>14811</v>
      </c>
      <c r="AI22" s="2">
        <v>239</v>
      </c>
      <c r="AJ22" s="2">
        <v>36802</v>
      </c>
      <c r="AK22" s="2">
        <f t="shared" si="0"/>
        <v>61190</v>
      </c>
      <c r="AL22" s="21">
        <f t="shared" si="1"/>
        <v>5902</v>
      </c>
      <c r="AM22" s="21">
        <f t="shared" si="2"/>
        <v>11088</v>
      </c>
      <c r="AN22" s="22">
        <f t="shared" si="3"/>
        <v>0.87868519146052182</v>
      </c>
      <c r="AO22" s="22">
        <f t="shared" si="4"/>
        <v>0.27765974832488971</v>
      </c>
      <c r="AP22" s="21">
        <f t="shared" si="5"/>
        <v>18486</v>
      </c>
      <c r="AQ22" s="21">
        <f t="shared" si="6"/>
        <v>17971</v>
      </c>
      <c r="AR22" s="22">
        <f t="shared" si="7"/>
        <v>-2.7858920263983556E-2</v>
      </c>
      <c r="AS22" s="22">
        <f t="shared" si="8"/>
        <v>0.59579996731492069</v>
      </c>
    </row>
    <row r="23" spans="1:45">
      <c r="A23">
        <v>21</v>
      </c>
      <c r="B23" t="s">
        <v>6</v>
      </c>
      <c r="C23" s="2">
        <v>1052</v>
      </c>
      <c r="D23" s="2">
        <v>1135</v>
      </c>
      <c r="E23" s="2">
        <v>120</v>
      </c>
      <c r="F23" s="2">
        <v>161</v>
      </c>
      <c r="G23" s="2">
        <v>198</v>
      </c>
      <c r="H23" s="2">
        <v>12183</v>
      </c>
      <c r="I23" s="2">
        <v>33</v>
      </c>
      <c r="J23" s="2">
        <v>1495</v>
      </c>
      <c r="K23" s="2">
        <v>65</v>
      </c>
      <c r="L23" s="2">
        <v>176</v>
      </c>
      <c r="M23" s="2">
        <v>191</v>
      </c>
      <c r="N23" s="2">
        <v>77</v>
      </c>
      <c r="O23" s="2">
        <v>222</v>
      </c>
      <c r="P23" s="2">
        <v>2208</v>
      </c>
      <c r="Q23" s="2">
        <v>6303</v>
      </c>
      <c r="R23" s="2">
        <v>33</v>
      </c>
      <c r="S23" s="2">
        <v>25651</v>
      </c>
      <c r="T23" s="2">
        <v>1268</v>
      </c>
      <c r="U23" s="2">
        <v>1342</v>
      </c>
      <c r="V23" s="2">
        <v>221</v>
      </c>
      <c r="W23" s="2">
        <v>284</v>
      </c>
      <c r="X23" s="2">
        <v>215</v>
      </c>
      <c r="Y23" s="2">
        <v>11570</v>
      </c>
      <c r="Z23" s="2">
        <v>45</v>
      </c>
      <c r="AA23" s="2">
        <v>1967</v>
      </c>
      <c r="AB23" s="2">
        <v>178</v>
      </c>
      <c r="AC23" s="2">
        <v>176</v>
      </c>
      <c r="AD23" s="2">
        <v>273</v>
      </c>
      <c r="AE23" s="2">
        <v>202</v>
      </c>
      <c r="AF23" s="2">
        <v>302</v>
      </c>
      <c r="AG23" s="2">
        <v>2386</v>
      </c>
      <c r="AH23" s="2">
        <v>6401</v>
      </c>
      <c r="AI23" s="2">
        <v>55</v>
      </c>
      <c r="AJ23" s="2">
        <v>26887</v>
      </c>
      <c r="AK23" s="2">
        <f t="shared" si="0"/>
        <v>52538</v>
      </c>
      <c r="AL23" s="21">
        <f t="shared" si="1"/>
        <v>2667</v>
      </c>
      <c r="AM23" s="21">
        <f t="shared" si="2"/>
        <v>3456</v>
      </c>
      <c r="AN23" s="22">
        <f t="shared" si="3"/>
        <v>0.29583802024746908</v>
      </c>
      <c r="AO23" s="22">
        <f t="shared" si="4"/>
        <v>0.11654421561536411</v>
      </c>
      <c r="AP23" s="21">
        <f t="shared" si="5"/>
        <v>7161</v>
      </c>
      <c r="AQ23" s="21">
        <f t="shared" si="6"/>
        <v>6862</v>
      </c>
      <c r="AR23" s="22">
        <f t="shared" si="7"/>
        <v>-4.1753944979751434E-2</v>
      </c>
      <c r="AS23" s="22">
        <f t="shared" si="8"/>
        <v>0.26691156876927175</v>
      </c>
    </row>
    <row r="24" spans="1:45">
      <c r="A24">
        <v>22</v>
      </c>
      <c r="B24" t="s">
        <v>35</v>
      </c>
      <c r="C24" s="2">
        <v>3681</v>
      </c>
      <c r="D24" s="2">
        <v>829</v>
      </c>
      <c r="E24" s="2">
        <v>713</v>
      </c>
      <c r="F24" s="2">
        <v>352</v>
      </c>
      <c r="G24" s="2">
        <v>733</v>
      </c>
      <c r="H24" s="2">
        <v>1916</v>
      </c>
      <c r="I24" s="2">
        <v>117</v>
      </c>
      <c r="J24" s="2">
        <v>4496</v>
      </c>
      <c r="K24" s="2">
        <v>663</v>
      </c>
      <c r="L24" s="2">
        <v>795</v>
      </c>
      <c r="M24" s="2">
        <v>607</v>
      </c>
      <c r="N24" s="2">
        <v>189</v>
      </c>
      <c r="O24" s="2">
        <v>444</v>
      </c>
      <c r="P24" s="2">
        <v>1080</v>
      </c>
      <c r="Q24" s="2">
        <v>5245</v>
      </c>
      <c r="R24" s="2">
        <v>202</v>
      </c>
      <c r="S24" s="2">
        <v>22061</v>
      </c>
      <c r="T24" s="2">
        <v>4209</v>
      </c>
      <c r="U24" s="2">
        <v>1457</v>
      </c>
      <c r="V24" s="2">
        <v>1083</v>
      </c>
      <c r="W24" s="2">
        <v>496</v>
      </c>
      <c r="X24" s="2">
        <v>963</v>
      </c>
      <c r="Y24" s="2">
        <v>1646</v>
      </c>
      <c r="Z24" s="2">
        <v>142</v>
      </c>
      <c r="AA24" s="2">
        <v>6111</v>
      </c>
      <c r="AB24" s="2">
        <v>874</v>
      </c>
      <c r="AC24" s="2">
        <v>622</v>
      </c>
      <c r="AD24" s="2">
        <v>705</v>
      </c>
      <c r="AE24" s="2">
        <v>525</v>
      </c>
      <c r="AF24" s="2">
        <v>607</v>
      </c>
      <c r="AG24" s="2">
        <v>1683</v>
      </c>
      <c r="AH24" s="2">
        <v>5216</v>
      </c>
      <c r="AI24" s="2">
        <v>132</v>
      </c>
      <c r="AJ24" s="2">
        <v>26471</v>
      </c>
      <c r="AK24" s="2">
        <f t="shared" si="0"/>
        <v>48532</v>
      </c>
      <c r="AL24" s="21">
        <f t="shared" si="1"/>
        <v>8890</v>
      </c>
      <c r="AM24" s="21">
        <f t="shared" si="2"/>
        <v>11403</v>
      </c>
      <c r="AN24" s="22">
        <f t="shared" si="3"/>
        <v>0.28267716535433068</v>
      </c>
      <c r="AO24" s="22">
        <f t="shared" si="4"/>
        <v>0.41813648726613367</v>
      </c>
      <c r="AP24" s="21">
        <f t="shared" si="5"/>
        <v>9264</v>
      </c>
      <c r="AQ24" s="21">
        <f t="shared" si="6"/>
        <v>9359</v>
      </c>
      <c r="AR24" s="22">
        <f t="shared" si="7"/>
        <v>1.0254749568221071E-2</v>
      </c>
      <c r="AS24" s="22">
        <f t="shared" si="8"/>
        <v>0.38372620126926565</v>
      </c>
    </row>
    <row r="25" spans="1:45">
      <c r="A25">
        <v>23</v>
      </c>
      <c r="B25" t="s">
        <v>45</v>
      </c>
      <c r="C25" s="2">
        <v>3354</v>
      </c>
      <c r="D25" s="2">
        <v>1146</v>
      </c>
      <c r="E25" s="2">
        <v>390</v>
      </c>
      <c r="F25" s="2">
        <v>109</v>
      </c>
      <c r="G25" s="2">
        <v>296</v>
      </c>
      <c r="H25" s="2">
        <v>1190</v>
      </c>
      <c r="I25" s="2">
        <v>170</v>
      </c>
      <c r="J25" s="2">
        <v>3718</v>
      </c>
      <c r="K25" s="2">
        <v>373</v>
      </c>
      <c r="L25" s="2">
        <v>250</v>
      </c>
      <c r="M25" s="2">
        <v>501</v>
      </c>
      <c r="N25" s="2">
        <v>307</v>
      </c>
      <c r="O25" s="2">
        <v>547</v>
      </c>
      <c r="P25" s="2">
        <v>1679</v>
      </c>
      <c r="Q25" s="2">
        <v>8074</v>
      </c>
      <c r="R25" s="2">
        <v>123</v>
      </c>
      <c r="S25" s="2">
        <v>22226</v>
      </c>
      <c r="T25" s="2">
        <v>3985</v>
      </c>
      <c r="U25" s="2">
        <v>1617</v>
      </c>
      <c r="V25" s="2">
        <v>465</v>
      </c>
      <c r="W25" s="2">
        <v>212</v>
      </c>
      <c r="X25" s="2">
        <v>404</v>
      </c>
      <c r="Y25" s="2">
        <v>1331</v>
      </c>
      <c r="Z25" s="2">
        <v>106</v>
      </c>
      <c r="AA25" s="2">
        <v>4952</v>
      </c>
      <c r="AB25" s="2">
        <v>451</v>
      </c>
      <c r="AC25" s="2">
        <v>314</v>
      </c>
      <c r="AD25" s="2">
        <v>649</v>
      </c>
      <c r="AE25" s="2">
        <v>330</v>
      </c>
      <c r="AF25" s="2">
        <v>449</v>
      </c>
      <c r="AG25" s="2">
        <v>2031</v>
      </c>
      <c r="AH25" s="2">
        <v>8028</v>
      </c>
      <c r="AI25" s="2">
        <v>148</v>
      </c>
      <c r="AJ25" s="2">
        <v>25472</v>
      </c>
      <c r="AK25" s="2">
        <f t="shared" si="0"/>
        <v>47698</v>
      </c>
      <c r="AL25" s="21">
        <f t="shared" si="1"/>
        <v>7462</v>
      </c>
      <c r="AM25" s="21">
        <f t="shared" si="2"/>
        <v>9402</v>
      </c>
      <c r="AN25" s="22">
        <f t="shared" si="3"/>
        <v>0.2599839185205039</v>
      </c>
      <c r="AO25" s="22">
        <f t="shared" si="4"/>
        <v>0.35355780116566732</v>
      </c>
      <c r="AP25" s="21">
        <f t="shared" si="5"/>
        <v>8950</v>
      </c>
      <c r="AQ25" s="21">
        <f t="shared" si="6"/>
        <v>9824</v>
      </c>
      <c r="AR25" s="22">
        <f t="shared" si="7"/>
        <v>9.7653631284916206E-2</v>
      </c>
      <c r="AS25" s="22">
        <f t="shared" si="8"/>
        <v>0.39360140886410333</v>
      </c>
    </row>
    <row r="26" spans="1:45">
      <c r="A26">
        <v>24</v>
      </c>
      <c r="B26" s="3" t="s">
        <v>20</v>
      </c>
      <c r="C26" s="15">
        <v>3359</v>
      </c>
      <c r="D26" s="4">
        <v>815</v>
      </c>
      <c r="E26" s="15">
        <v>473</v>
      </c>
      <c r="F26" s="4">
        <v>212</v>
      </c>
      <c r="G26" s="4">
        <v>365</v>
      </c>
      <c r="H26" s="19">
        <v>1612</v>
      </c>
      <c r="I26" s="4">
        <v>185</v>
      </c>
      <c r="J26" s="15">
        <v>3049</v>
      </c>
      <c r="K26" s="4">
        <v>181</v>
      </c>
      <c r="L26" s="4">
        <v>232</v>
      </c>
      <c r="M26" s="4">
        <v>307</v>
      </c>
      <c r="N26" s="4">
        <v>185</v>
      </c>
      <c r="O26" s="4">
        <v>392</v>
      </c>
      <c r="P26" s="4">
        <v>1320</v>
      </c>
      <c r="Q26" s="19">
        <v>7338</v>
      </c>
      <c r="R26" s="4">
        <v>123</v>
      </c>
      <c r="S26" s="4">
        <v>20148</v>
      </c>
      <c r="T26" s="15">
        <v>3954</v>
      </c>
      <c r="U26" s="4">
        <v>1081</v>
      </c>
      <c r="V26" s="15">
        <v>1012</v>
      </c>
      <c r="W26" s="4">
        <v>305</v>
      </c>
      <c r="X26" s="4">
        <v>479</v>
      </c>
      <c r="Y26" s="19">
        <v>1836</v>
      </c>
      <c r="Z26" s="4">
        <v>173</v>
      </c>
      <c r="AA26" s="15">
        <v>3971</v>
      </c>
      <c r="AB26" s="4">
        <v>417</v>
      </c>
      <c r="AC26" s="4">
        <v>373</v>
      </c>
      <c r="AD26" s="4">
        <v>468</v>
      </c>
      <c r="AE26" s="4">
        <v>358</v>
      </c>
      <c r="AF26" s="4">
        <v>542</v>
      </c>
      <c r="AG26" s="4">
        <v>1598</v>
      </c>
      <c r="AH26" s="19">
        <v>7988</v>
      </c>
      <c r="AI26" s="4">
        <v>217</v>
      </c>
      <c r="AJ26" s="4">
        <v>24772</v>
      </c>
      <c r="AK26" s="4">
        <f t="shared" si="0"/>
        <v>44920</v>
      </c>
      <c r="AL26" s="23">
        <f t="shared" si="1"/>
        <v>6881</v>
      </c>
      <c r="AM26" s="23">
        <f t="shared" si="2"/>
        <v>8937</v>
      </c>
      <c r="AN26" s="11">
        <f t="shared" si="3"/>
        <v>0.29879377997384099</v>
      </c>
      <c r="AO26" s="11">
        <f t="shared" si="4"/>
        <v>0.3521371326803206</v>
      </c>
      <c r="AP26" s="23">
        <f t="shared" si="5"/>
        <v>5707</v>
      </c>
      <c r="AQ26" s="23">
        <f t="shared" si="6"/>
        <v>8073</v>
      </c>
      <c r="AR26" s="11">
        <f t="shared" si="7"/>
        <v>0.4145785876993166</v>
      </c>
      <c r="AS26" s="11">
        <f t="shared" si="8"/>
        <v>0.30676758682101513</v>
      </c>
    </row>
    <row r="27" spans="1:45">
      <c r="A27">
        <v>25</v>
      </c>
      <c r="B27" s="3" t="s">
        <v>46</v>
      </c>
      <c r="C27" s="15">
        <v>2102</v>
      </c>
      <c r="D27" s="4">
        <v>1350</v>
      </c>
      <c r="E27" s="15">
        <v>231</v>
      </c>
      <c r="F27" s="4">
        <v>128</v>
      </c>
      <c r="G27" s="4">
        <v>151</v>
      </c>
      <c r="H27" s="19">
        <v>2629</v>
      </c>
      <c r="I27" s="4">
        <v>28</v>
      </c>
      <c r="J27" s="15">
        <v>2126</v>
      </c>
      <c r="K27" s="4">
        <v>55</v>
      </c>
      <c r="L27" s="4">
        <v>94</v>
      </c>
      <c r="M27" s="4">
        <v>218</v>
      </c>
      <c r="N27" s="4">
        <v>90</v>
      </c>
      <c r="O27" s="4">
        <v>170</v>
      </c>
      <c r="P27" s="4">
        <v>1335</v>
      </c>
      <c r="Q27" s="19">
        <v>3078</v>
      </c>
      <c r="R27" s="4">
        <v>17</v>
      </c>
      <c r="S27" s="4">
        <v>13801</v>
      </c>
      <c r="T27" s="15">
        <v>3701</v>
      </c>
      <c r="U27" s="4">
        <v>2431</v>
      </c>
      <c r="V27" s="15">
        <v>518</v>
      </c>
      <c r="W27" s="4">
        <v>657</v>
      </c>
      <c r="X27" s="4">
        <v>451</v>
      </c>
      <c r="Y27" s="19">
        <v>3461</v>
      </c>
      <c r="Z27" s="4">
        <v>139</v>
      </c>
      <c r="AA27" s="15">
        <v>3773</v>
      </c>
      <c r="AB27" s="4">
        <v>174</v>
      </c>
      <c r="AC27" s="4">
        <v>326</v>
      </c>
      <c r="AD27" s="4">
        <v>493</v>
      </c>
      <c r="AE27" s="4">
        <v>460</v>
      </c>
      <c r="AF27" s="4">
        <v>784</v>
      </c>
      <c r="AG27" s="4">
        <v>2240</v>
      </c>
      <c r="AH27" s="19">
        <v>4612</v>
      </c>
      <c r="AI27" s="4">
        <v>81</v>
      </c>
      <c r="AJ27" s="4">
        <v>24300</v>
      </c>
      <c r="AK27" s="4">
        <f t="shared" si="0"/>
        <v>38101</v>
      </c>
      <c r="AL27" s="23">
        <f t="shared" si="1"/>
        <v>4459</v>
      </c>
      <c r="AM27" s="23">
        <f t="shared" si="2"/>
        <v>7992</v>
      </c>
      <c r="AN27" s="11">
        <f t="shared" si="3"/>
        <v>0.79233011886073113</v>
      </c>
      <c r="AO27" s="11">
        <f t="shared" si="4"/>
        <v>0.32678932311487885</v>
      </c>
      <c r="AP27" s="23">
        <f t="shared" si="5"/>
        <v>6570</v>
      </c>
      <c r="AQ27" s="23">
        <f t="shared" si="6"/>
        <v>6911</v>
      </c>
      <c r="AR27" s="11">
        <f t="shared" si="7"/>
        <v>5.1902587519025878E-2</v>
      </c>
      <c r="AS27" s="11">
        <f t="shared" si="8"/>
        <v>0.35382273431143541</v>
      </c>
    </row>
    <row r="28" spans="1:45">
      <c r="A28">
        <v>26</v>
      </c>
      <c r="B28" t="s">
        <v>19</v>
      </c>
      <c r="C28" s="2">
        <v>2636</v>
      </c>
      <c r="D28" s="2">
        <v>486</v>
      </c>
      <c r="E28" s="2">
        <v>381</v>
      </c>
      <c r="F28" s="2">
        <v>91</v>
      </c>
      <c r="G28" s="2">
        <v>272</v>
      </c>
      <c r="H28" s="2">
        <v>1067</v>
      </c>
      <c r="I28" s="2">
        <v>100</v>
      </c>
      <c r="J28" s="2">
        <v>3768</v>
      </c>
      <c r="K28" s="2">
        <v>240</v>
      </c>
      <c r="L28" s="2">
        <v>213</v>
      </c>
      <c r="M28" s="2">
        <v>454</v>
      </c>
      <c r="N28" s="2">
        <v>226</v>
      </c>
      <c r="O28" s="2">
        <v>399</v>
      </c>
      <c r="P28" s="2">
        <v>1261</v>
      </c>
      <c r="Q28" s="2">
        <v>5503</v>
      </c>
      <c r="R28" s="2">
        <v>151</v>
      </c>
      <c r="S28" s="2">
        <v>17247</v>
      </c>
      <c r="T28" s="2">
        <v>3603</v>
      </c>
      <c r="U28" s="2">
        <v>748</v>
      </c>
      <c r="V28" s="2">
        <v>497</v>
      </c>
      <c r="W28" s="2">
        <v>231</v>
      </c>
      <c r="X28" s="2">
        <v>354</v>
      </c>
      <c r="Y28" s="2">
        <v>1349</v>
      </c>
      <c r="Z28" s="2">
        <v>121</v>
      </c>
      <c r="AA28" s="2">
        <v>4166</v>
      </c>
      <c r="AB28" s="2">
        <v>223</v>
      </c>
      <c r="AC28" s="2">
        <v>253</v>
      </c>
      <c r="AD28" s="2">
        <v>789</v>
      </c>
      <c r="AE28" s="2">
        <v>205</v>
      </c>
      <c r="AF28" s="2">
        <v>516</v>
      </c>
      <c r="AG28" s="2">
        <v>1526</v>
      </c>
      <c r="AH28" s="2">
        <v>5562</v>
      </c>
      <c r="AI28" s="2">
        <v>243</v>
      </c>
      <c r="AJ28" s="2">
        <v>20385</v>
      </c>
      <c r="AK28" s="2">
        <f t="shared" si="0"/>
        <v>37632</v>
      </c>
      <c r="AL28" s="21">
        <f t="shared" si="1"/>
        <v>6785</v>
      </c>
      <c r="AM28" s="21">
        <f t="shared" si="2"/>
        <v>8266</v>
      </c>
      <c r="AN28" s="22">
        <f t="shared" si="3"/>
        <v>0.21827560795873249</v>
      </c>
      <c r="AO28" s="22">
        <f t="shared" si="4"/>
        <v>0.39995216836734693</v>
      </c>
      <c r="AP28" s="21">
        <f t="shared" si="5"/>
        <v>6499</v>
      </c>
      <c r="AQ28" s="21">
        <f t="shared" si="6"/>
        <v>3272</v>
      </c>
      <c r="AR28" s="22">
        <f t="shared" si="7"/>
        <v>-0.49653792891214033</v>
      </c>
      <c r="AS28" s="22">
        <f t="shared" si="8"/>
        <v>0.25964604591836737</v>
      </c>
    </row>
    <row r="29" spans="1:45">
      <c r="A29">
        <v>27</v>
      </c>
      <c r="B29" t="s">
        <v>12</v>
      </c>
      <c r="C29" s="2">
        <v>3132</v>
      </c>
      <c r="D29" s="2">
        <v>1684</v>
      </c>
      <c r="E29" s="2">
        <v>747</v>
      </c>
      <c r="F29" s="2">
        <v>448</v>
      </c>
      <c r="G29" s="2">
        <v>440</v>
      </c>
      <c r="H29" s="2">
        <v>1501</v>
      </c>
      <c r="I29" s="2">
        <v>189</v>
      </c>
      <c r="J29" s="2">
        <v>4480</v>
      </c>
      <c r="K29" s="2">
        <v>252</v>
      </c>
      <c r="L29" s="2">
        <v>296</v>
      </c>
      <c r="M29" s="2">
        <v>418</v>
      </c>
      <c r="N29" s="2">
        <v>279</v>
      </c>
      <c r="O29" s="2">
        <v>1071</v>
      </c>
      <c r="P29" s="2">
        <v>1243</v>
      </c>
      <c r="Q29" s="2">
        <v>4998</v>
      </c>
      <c r="R29" s="2">
        <v>164</v>
      </c>
      <c r="S29" s="2">
        <v>21344</v>
      </c>
      <c r="T29" s="2">
        <v>2669</v>
      </c>
      <c r="U29" s="2">
        <v>1032</v>
      </c>
      <c r="V29" s="2">
        <v>747</v>
      </c>
      <c r="W29" s="2">
        <v>404</v>
      </c>
      <c r="X29" s="2">
        <v>363</v>
      </c>
      <c r="Y29" s="2">
        <v>811</v>
      </c>
      <c r="Z29" s="2">
        <v>67</v>
      </c>
      <c r="AA29" s="2">
        <v>3889</v>
      </c>
      <c r="AB29" s="2">
        <v>139</v>
      </c>
      <c r="AC29" s="2">
        <v>329</v>
      </c>
      <c r="AD29" s="2">
        <v>427</v>
      </c>
      <c r="AE29" s="2">
        <v>400</v>
      </c>
      <c r="AF29" s="2">
        <v>417</v>
      </c>
      <c r="AG29" s="2">
        <v>991</v>
      </c>
      <c r="AH29" s="2">
        <v>2461</v>
      </c>
      <c r="AI29" s="2">
        <v>96</v>
      </c>
      <c r="AJ29" s="2">
        <v>15241</v>
      </c>
      <c r="AK29" s="2">
        <f t="shared" si="0"/>
        <v>36585</v>
      </c>
      <c r="AL29" s="21">
        <f t="shared" si="1"/>
        <v>8359</v>
      </c>
      <c r="AM29" s="21">
        <f t="shared" si="2"/>
        <v>7305</v>
      </c>
      <c r="AN29" s="22">
        <f t="shared" si="3"/>
        <v>-0.12609163775571242</v>
      </c>
      <c r="AO29" s="22">
        <f t="shared" si="4"/>
        <v>0.428153614869482</v>
      </c>
      <c r="AP29" s="21">
        <f t="shared" si="5"/>
        <v>2065</v>
      </c>
      <c r="AQ29" s="21">
        <f t="shared" si="6"/>
        <v>3793</v>
      </c>
      <c r="AR29" s="22">
        <f t="shared" si="7"/>
        <v>0.83680387409200974</v>
      </c>
      <c r="AS29" s="22">
        <f t="shared" si="8"/>
        <v>0.16012026786934536</v>
      </c>
    </row>
    <row r="30" spans="1:45">
      <c r="A30">
        <v>28</v>
      </c>
      <c r="B30" s="3" t="s">
        <v>11</v>
      </c>
      <c r="C30" s="15">
        <v>2966</v>
      </c>
      <c r="D30" s="4">
        <v>611</v>
      </c>
      <c r="E30" s="15">
        <v>223</v>
      </c>
      <c r="F30" s="4">
        <v>99</v>
      </c>
      <c r="G30" s="4">
        <v>242</v>
      </c>
      <c r="H30" s="19">
        <v>703</v>
      </c>
      <c r="I30" s="4">
        <v>51</v>
      </c>
      <c r="J30" s="15">
        <v>2385</v>
      </c>
      <c r="K30" s="4">
        <v>54</v>
      </c>
      <c r="L30" s="4">
        <v>64</v>
      </c>
      <c r="M30" s="4">
        <v>246</v>
      </c>
      <c r="N30" s="4">
        <v>75</v>
      </c>
      <c r="O30" s="4">
        <v>90</v>
      </c>
      <c r="P30" s="4">
        <v>641</v>
      </c>
      <c r="Q30" s="19">
        <v>1362</v>
      </c>
      <c r="R30" s="4">
        <v>69</v>
      </c>
      <c r="S30" s="4">
        <v>9882</v>
      </c>
      <c r="T30" s="15">
        <v>5350</v>
      </c>
      <c r="U30" s="4">
        <v>1443</v>
      </c>
      <c r="V30" s="15">
        <v>662</v>
      </c>
      <c r="W30" s="4">
        <v>488</v>
      </c>
      <c r="X30" s="4">
        <v>529</v>
      </c>
      <c r="Y30" s="19">
        <v>1336</v>
      </c>
      <c r="Z30" s="4">
        <v>196</v>
      </c>
      <c r="AA30" s="15">
        <v>5176</v>
      </c>
      <c r="AB30" s="4">
        <v>207</v>
      </c>
      <c r="AC30" s="4">
        <v>377</v>
      </c>
      <c r="AD30" s="4">
        <v>509</v>
      </c>
      <c r="AE30" s="4">
        <v>287</v>
      </c>
      <c r="AF30" s="4">
        <v>415</v>
      </c>
      <c r="AG30" s="4">
        <v>1610</v>
      </c>
      <c r="AH30" s="19">
        <v>2457</v>
      </c>
      <c r="AI30" s="4">
        <v>117</v>
      </c>
      <c r="AJ30" s="4">
        <v>21161</v>
      </c>
      <c r="AK30" s="4">
        <f t="shared" si="0"/>
        <v>31043</v>
      </c>
      <c r="AL30" s="23">
        <f t="shared" si="1"/>
        <v>5574</v>
      </c>
      <c r="AM30" s="23">
        <f t="shared" si="2"/>
        <v>11188</v>
      </c>
      <c r="AN30" s="11">
        <f t="shared" si="3"/>
        <v>1.0071761750986723</v>
      </c>
      <c r="AO30" s="11">
        <f t="shared" si="4"/>
        <v>0.53996069967464488</v>
      </c>
      <c r="AP30" s="23">
        <f t="shared" si="5"/>
        <v>2871</v>
      </c>
      <c r="AQ30" s="23">
        <f t="shared" si="6"/>
        <v>3387</v>
      </c>
      <c r="AR30" s="11">
        <f t="shared" si="7"/>
        <v>0.17972831765935215</v>
      </c>
      <c r="AS30" s="11">
        <f t="shared" si="8"/>
        <v>0.20159134104306928</v>
      </c>
    </row>
    <row r="31" spans="1:45">
      <c r="A31">
        <v>29</v>
      </c>
      <c r="B31" s="3" t="s">
        <v>25</v>
      </c>
      <c r="C31" s="15">
        <v>2275</v>
      </c>
      <c r="D31" s="4">
        <v>739</v>
      </c>
      <c r="E31" s="15">
        <v>353</v>
      </c>
      <c r="F31" s="4">
        <v>127</v>
      </c>
      <c r="G31" s="4">
        <v>189</v>
      </c>
      <c r="H31" s="19">
        <v>510</v>
      </c>
      <c r="I31" s="4">
        <v>36</v>
      </c>
      <c r="J31" s="15">
        <v>2701</v>
      </c>
      <c r="K31" s="4">
        <v>51</v>
      </c>
      <c r="L31" s="4">
        <v>123</v>
      </c>
      <c r="M31" s="4">
        <v>268</v>
      </c>
      <c r="N31" s="4">
        <v>126</v>
      </c>
      <c r="O31" s="4">
        <v>123</v>
      </c>
      <c r="P31" s="4">
        <v>642</v>
      </c>
      <c r="Q31" s="19">
        <v>2361</v>
      </c>
      <c r="R31" s="4">
        <v>31</v>
      </c>
      <c r="S31" s="4">
        <v>10653</v>
      </c>
      <c r="T31" s="15">
        <v>3473</v>
      </c>
      <c r="U31" s="4">
        <v>1388</v>
      </c>
      <c r="V31" s="15">
        <v>679</v>
      </c>
      <c r="W31" s="4">
        <v>344</v>
      </c>
      <c r="X31" s="4">
        <v>448</v>
      </c>
      <c r="Y31" s="19">
        <v>728</v>
      </c>
      <c r="Z31" s="4">
        <v>163</v>
      </c>
      <c r="AA31" s="15">
        <v>4728</v>
      </c>
      <c r="AB31" s="4">
        <v>157</v>
      </c>
      <c r="AC31" s="4">
        <v>380</v>
      </c>
      <c r="AD31" s="4">
        <v>516</v>
      </c>
      <c r="AE31" s="4">
        <v>323</v>
      </c>
      <c r="AF31" s="4">
        <v>324</v>
      </c>
      <c r="AG31" s="4">
        <v>1175</v>
      </c>
      <c r="AH31" s="19">
        <v>2659</v>
      </c>
      <c r="AI31" s="4">
        <v>51</v>
      </c>
      <c r="AJ31" s="4">
        <v>17534</v>
      </c>
      <c r="AK31" s="4">
        <f t="shared" si="0"/>
        <v>28187</v>
      </c>
      <c r="AL31" s="23">
        <f t="shared" si="1"/>
        <v>5329</v>
      </c>
      <c r="AM31" s="23">
        <f t="shared" si="2"/>
        <v>8880</v>
      </c>
      <c r="AN31" s="11">
        <f t="shared" si="3"/>
        <v>0.66635391255395005</v>
      </c>
      <c r="AO31" s="11">
        <f t="shared" si="4"/>
        <v>0.50409763366090754</v>
      </c>
      <c r="AP31" s="23">
        <f t="shared" si="5"/>
        <v>7901</v>
      </c>
      <c r="AQ31" s="23">
        <f t="shared" si="6"/>
        <v>8529</v>
      </c>
      <c r="AR31" s="11">
        <f t="shared" si="7"/>
        <v>7.9483609669662073E-2</v>
      </c>
      <c r="AS31" s="11">
        <f t="shared" si="8"/>
        <v>0.58289282293255751</v>
      </c>
    </row>
    <row r="32" spans="1:45">
      <c r="A32">
        <v>30</v>
      </c>
      <c r="B32" s="3" t="s">
        <v>32</v>
      </c>
      <c r="C32" s="15">
        <v>1536</v>
      </c>
      <c r="D32" s="4">
        <v>480</v>
      </c>
      <c r="E32" s="15">
        <v>128</v>
      </c>
      <c r="F32" s="4">
        <v>49</v>
      </c>
      <c r="G32" s="4">
        <v>95</v>
      </c>
      <c r="H32" s="19">
        <v>1328</v>
      </c>
      <c r="I32" s="4">
        <v>21</v>
      </c>
      <c r="J32" s="15">
        <v>1601</v>
      </c>
      <c r="K32" s="4">
        <v>56</v>
      </c>
      <c r="L32" s="4">
        <v>80</v>
      </c>
      <c r="M32" s="4">
        <v>106</v>
      </c>
      <c r="N32" s="4">
        <v>54</v>
      </c>
      <c r="O32" s="4">
        <v>110</v>
      </c>
      <c r="P32" s="4">
        <v>647</v>
      </c>
      <c r="Q32" s="19">
        <v>6573</v>
      </c>
      <c r="R32" s="4">
        <v>55</v>
      </c>
      <c r="S32" s="4">
        <v>12917</v>
      </c>
      <c r="T32" s="15">
        <v>1785</v>
      </c>
      <c r="U32" s="4">
        <v>653</v>
      </c>
      <c r="V32" s="15">
        <v>180</v>
      </c>
      <c r="W32" s="4">
        <v>43</v>
      </c>
      <c r="X32" s="4">
        <v>202</v>
      </c>
      <c r="Y32" s="19">
        <v>1562</v>
      </c>
      <c r="Z32" s="4">
        <v>67</v>
      </c>
      <c r="AA32" s="15">
        <v>2046</v>
      </c>
      <c r="AB32" s="4">
        <v>56</v>
      </c>
      <c r="AC32" s="4">
        <v>90</v>
      </c>
      <c r="AD32" s="4">
        <v>174</v>
      </c>
      <c r="AE32" s="4">
        <v>89</v>
      </c>
      <c r="AF32" s="4">
        <v>123</v>
      </c>
      <c r="AG32" s="4">
        <v>708</v>
      </c>
      <c r="AH32" s="19">
        <v>6967</v>
      </c>
      <c r="AI32" s="4">
        <v>27</v>
      </c>
      <c r="AJ32" s="4">
        <v>14772</v>
      </c>
      <c r="AK32" s="4">
        <f t="shared" si="0"/>
        <v>27689</v>
      </c>
      <c r="AL32" s="23">
        <f t="shared" si="1"/>
        <v>3265</v>
      </c>
      <c r="AM32" s="23">
        <f t="shared" si="2"/>
        <v>4011</v>
      </c>
      <c r="AN32" s="11">
        <f t="shared" si="3"/>
        <v>0.22848392036753445</v>
      </c>
      <c r="AO32" s="11">
        <f t="shared" si="4"/>
        <v>0.26277583155765827</v>
      </c>
      <c r="AP32" s="23">
        <f t="shared" si="5"/>
        <v>2300</v>
      </c>
      <c r="AQ32" s="23">
        <f t="shared" si="6"/>
        <v>2699</v>
      </c>
      <c r="AR32" s="11">
        <f t="shared" si="7"/>
        <v>0.17347826086956522</v>
      </c>
      <c r="AS32" s="11">
        <f t="shared" si="8"/>
        <v>0.18054100906497164</v>
      </c>
    </row>
    <row r="33" spans="1:45">
      <c r="A33">
        <v>31</v>
      </c>
      <c r="B33" t="s">
        <v>47</v>
      </c>
      <c r="C33" s="2">
        <v>1626</v>
      </c>
      <c r="D33" s="2">
        <v>306</v>
      </c>
      <c r="E33" s="2">
        <v>244</v>
      </c>
      <c r="F33" s="2">
        <v>98</v>
      </c>
      <c r="G33" s="2">
        <v>139</v>
      </c>
      <c r="H33" s="2">
        <v>475</v>
      </c>
      <c r="I33" s="2">
        <v>42</v>
      </c>
      <c r="J33" s="2">
        <v>1690</v>
      </c>
      <c r="K33" s="2">
        <v>89</v>
      </c>
      <c r="L33" s="2">
        <v>153</v>
      </c>
      <c r="M33" s="2">
        <v>376</v>
      </c>
      <c r="N33" s="2">
        <v>129</v>
      </c>
      <c r="O33" s="2">
        <v>301</v>
      </c>
      <c r="P33" s="2">
        <v>510</v>
      </c>
      <c r="Q33" s="2">
        <v>1825</v>
      </c>
      <c r="R33" s="2">
        <v>483</v>
      </c>
      <c r="S33" s="2">
        <v>8486</v>
      </c>
      <c r="T33" s="2">
        <v>2940</v>
      </c>
      <c r="U33" s="2">
        <v>776</v>
      </c>
      <c r="V33" s="2">
        <v>655</v>
      </c>
      <c r="W33" s="2">
        <v>288</v>
      </c>
      <c r="X33" s="2">
        <v>452</v>
      </c>
      <c r="Y33" s="2">
        <v>561</v>
      </c>
      <c r="Z33" s="2">
        <v>83</v>
      </c>
      <c r="AA33" s="2">
        <v>3529</v>
      </c>
      <c r="AB33" s="2">
        <v>163</v>
      </c>
      <c r="AC33" s="2">
        <v>332</v>
      </c>
      <c r="AD33" s="2">
        <v>489</v>
      </c>
      <c r="AE33" s="2">
        <v>312</v>
      </c>
      <c r="AF33" s="2">
        <v>492</v>
      </c>
      <c r="AG33" s="2">
        <v>879</v>
      </c>
      <c r="AH33" s="2">
        <v>2138</v>
      </c>
      <c r="AI33" s="2">
        <v>121</v>
      </c>
      <c r="AJ33" s="2">
        <v>14208</v>
      </c>
      <c r="AK33" s="2">
        <f t="shared" si="0"/>
        <v>22694</v>
      </c>
      <c r="AL33" s="21">
        <f t="shared" si="1"/>
        <v>3560</v>
      </c>
      <c r="AM33" s="21">
        <f t="shared" si="2"/>
        <v>7124</v>
      </c>
      <c r="AN33" s="22">
        <f t="shared" si="3"/>
        <v>1.0011235955056179</v>
      </c>
      <c r="AO33" s="22">
        <f t="shared" si="4"/>
        <v>0.47078522957609942</v>
      </c>
      <c r="AP33" s="21">
        <f t="shared" si="5"/>
        <v>2574</v>
      </c>
      <c r="AQ33" s="21">
        <f t="shared" si="6"/>
        <v>3640</v>
      </c>
      <c r="AR33" s="22">
        <f t="shared" si="7"/>
        <v>0.41414141414141414</v>
      </c>
      <c r="AS33" s="22">
        <f t="shared" si="8"/>
        <v>0.27381686789459769</v>
      </c>
    </row>
    <row r="34" spans="1:45">
      <c r="A34">
        <v>32</v>
      </c>
      <c r="B34" s="3" t="s">
        <v>37</v>
      </c>
      <c r="C34" s="15">
        <v>1315</v>
      </c>
      <c r="D34" s="4">
        <v>268</v>
      </c>
      <c r="E34" s="15">
        <v>172</v>
      </c>
      <c r="F34" s="4">
        <v>31</v>
      </c>
      <c r="G34" s="4">
        <v>123</v>
      </c>
      <c r="H34" s="19">
        <v>438</v>
      </c>
      <c r="I34" s="4">
        <v>55</v>
      </c>
      <c r="J34" s="15">
        <v>1226</v>
      </c>
      <c r="K34" s="4">
        <v>58</v>
      </c>
      <c r="L34" s="4">
        <v>123</v>
      </c>
      <c r="M34" s="4">
        <v>154</v>
      </c>
      <c r="N34" s="4">
        <v>98</v>
      </c>
      <c r="O34" s="4">
        <v>264</v>
      </c>
      <c r="P34" s="4">
        <v>536</v>
      </c>
      <c r="Q34" s="19">
        <v>2136</v>
      </c>
      <c r="R34" s="4">
        <v>86</v>
      </c>
      <c r="S34" s="4">
        <v>7084</v>
      </c>
      <c r="T34" s="15">
        <v>2001</v>
      </c>
      <c r="U34" s="4">
        <v>518</v>
      </c>
      <c r="V34" s="15">
        <v>406</v>
      </c>
      <c r="W34" s="4">
        <v>155</v>
      </c>
      <c r="X34" s="4">
        <v>190</v>
      </c>
      <c r="Y34" s="19">
        <v>812</v>
      </c>
      <c r="Z34" s="4">
        <v>48</v>
      </c>
      <c r="AA34" s="15">
        <v>2863</v>
      </c>
      <c r="AB34" s="4">
        <v>186</v>
      </c>
      <c r="AC34" s="4">
        <v>177</v>
      </c>
      <c r="AD34" s="4">
        <v>445</v>
      </c>
      <c r="AE34" s="4">
        <v>258</v>
      </c>
      <c r="AF34" s="4">
        <v>335</v>
      </c>
      <c r="AG34" s="4">
        <v>888</v>
      </c>
      <c r="AH34" s="19">
        <v>2828</v>
      </c>
      <c r="AI34" s="4">
        <v>252</v>
      </c>
      <c r="AJ34" s="4">
        <v>12362</v>
      </c>
      <c r="AK34" s="4">
        <f t="shared" si="0"/>
        <v>19446</v>
      </c>
      <c r="AL34" s="23">
        <f t="shared" si="1"/>
        <v>2713</v>
      </c>
      <c r="AM34" s="23">
        <f t="shared" si="2"/>
        <v>5270</v>
      </c>
      <c r="AN34" s="11">
        <f t="shared" si="3"/>
        <v>0.94249907851087356</v>
      </c>
      <c r="AO34" s="11">
        <f t="shared" si="4"/>
        <v>0.41052144399876583</v>
      </c>
      <c r="AP34" s="23">
        <f t="shared" si="5"/>
        <v>801</v>
      </c>
      <c r="AQ34" s="23">
        <f t="shared" si="6"/>
        <v>1176</v>
      </c>
      <c r="AR34" s="11">
        <f t="shared" si="7"/>
        <v>0.46816479400749061</v>
      </c>
      <c r="AS34" s="11">
        <f t="shared" si="8"/>
        <v>0.10166615242209194</v>
      </c>
    </row>
    <row r="35" spans="1:45">
      <c r="A35">
        <v>33</v>
      </c>
      <c r="B35" s="3" t="s">
        <v>28</v>
      </c>
      <c r="C35" s="15">
        <v>1954</v>
      </c>
      <c r="D35" s="4">
        <v>441</v>
      </c>
      <c r="E35" s="15">
        <v>283</v>
      </c>
      <c r="F35" s="4">
        <v>159</v>
      </c>
      <c r="G35" s="4">
        <v>194</v>
      </c>
      <c r="H35" s="19">
        <v>341</v>
      </c>
      <c r="I35" s="4">
        <v>44</v>
      </c>
      <c r="J35" s="15">
        <v>1852</v>
      </c>
      <c r="K35" s="4">
        <v>43</v>
      </c>
      <c r="L35" s="4">
        <v>139</v>
      </c>
      <c r="M35" s="4">
        <v>140</v>
      </c>
      <c r="N35" s="4">
        <v>121</v>
      </c>
      <c r="O35" s="4">
        <v>82</v>
      </c>
      <c r="P35" s="4">
        <v>351</v>
      </c>
      <c r="Q35" s="19">
        <v>460</v>
      </c>
      <c r="R35" s="4">
        <v>18</v>
      </c>
      <c r="S35" s="4">
        <v>6624</v>
      </c>
      <c r="T35" s="15">
        <v>2740</v>
      </c>
      <c r="U35" s="4">
        <v>699</v>
      </c>
      <c r="V35" s="15">
        <v>496</v>
      </c>
      <c r="W35" s="4">
        <v>385</v>
      </c>
      <c r="X35" s="4">
        <v>360</v>
      </c>
      <c r="Y35" s="19">
        <v>442</v>
      </c>
      <c r="Z35" s="4">
        <v>86</v>
      </c>
      <c r="AA35" s="15">
        <v>2740</v>
      </c>
      <c r="AB35" s="4">
        <v>126</v>
      </c>
      <c r="AC35" s="4">
        <v>287</v>
      </c>
      <c r="AD35" s="4">
        <v>334</v>
      </c>
      <c r="AE35" s="4">
        <v>311</v>
      </c>
      <c r="AF35" s="4">
        <v>300</v>
      </c>
      <c r="AG35" s="4">
        <v>558</v>
      </c>
      <c r="AH35" s="19">
        <v>734</v>
      </c>
      <c r="AI35" s="4">
        <v>30</v>
      </c>
      <c r="AJ35" s="4">
        <v>10628</v>
      </c>
      <c r="AK35" s="4">
        <f t="shared" ref="AK35:AK52" si="9">AJ35+S35</f>
        <v>17252</v>
      </c>
      <c r="AL35" s="23">
        <f t="shared" si="1"/>
        <v>4089</v>
      </c>
      <c r="AM35" s="23">
        <f t="shared" si="2"/>
        <v>5976</v>
      </c>
      <c r="AN35" s="11">
        <f t="shared" si="3"/>
        <v>0.46148202494497431</v>
      </c>
      <c r="AO35" s="11">
        <f t="shared" si="4"/>
        <v>0.58341061905865987</v>
      </c>
      <c r="AP35" s="23">
        <f t="shared" si="5"/>
        <v>2170</v>
      </c>
      <c r="AQ35" s="23">
        <f t="shared" si="6"/>
        <v>3479</v>
      </c>
      <c r="AR35" s="11">
        <f t="shared" si="7"/>
        <v>0.60322580645161294</v>
      </c>
      <c r="AS35" s="11">
        <f t="shared" si="8"/>
        <v>0.32744029677718528</v>
      </c>
    </row>
    <row r="36" spans="1:45">
      <c r="A36">
        <v>34</v>
      </c>
      <c r="B36" t="s">
        <v>43</v>
      </c>
      <c r="C36" s="2">
        <v>879</v>
      </c>
      <c r="D36" s="2">
        <v>291</v>
      </c>
      <c r="E36" s="2">
        <v>143</v>
      </c>
      <c r="F36" s="2">
        <v>46</v>
      </c>
      <c r="G36" s="2">
        <v>94</v>
      </c>
      <c r="H36" s="2">
        <v>411</v>
      </c>
      <c r="I36" s="2">
        <v>38</v>
      </c>
      <c r="J36" s="2">
        <v>1030</v>
      </c>
      <c r="K36" s="2">
        <v>153</v>
      </c>
      <c r="L36" s="2">
        <v>168</v>
      </c>
      <c r="M36" s="2">
        <v>178</v>
      </c>
      <c r="N36" s="2">
        <v>67</v>
      </c>
      <c r="O36" s="2">
        <v>179</v>
      </c>
      <c r="P36" s="2">
        <v>288</v>
      </c>
      <c r="Q36" s="2">
        <v>1759</v>
      </c>
      <c r="R36" s="2">
        <v>74</v>
      </c>
      <c r="S36" s="2">
        <v>5798</v>
      </c>
      <c r="T36" s="2">
        <v>1356</v>
      </c>
      <c r="U36" s="2">
        <v>562</v>
      </c>
      <c r="V36" s="2">
        <v>370</v>
      </c>
      <c r="W36" s="2">
        <v>157</v>
      </c>
      <c r="X36" s="2">
        <v>186</v>
      </c>
      <c r="Y36" s="2">
        <v>635</v>
      </c>
      <c r="Z36" s="2">
        <v>146</v>
      </c>
      <c r="AA36" s="2">
        <v>2308</v>
      </c>
      <c r="AB36" s="2">
        <v>150</v>
      </c>
      <c r="AC36" s="2">
        <v>265</v>
      </c>
      <c r="AD36" s="2">
        <v>324</v>
      </c>
      <c r="AE36" s="2">
        <v>158</v>
      </c>
      <c r="AF36" s="2">
        <v>364</v>
      </c>
      <c r="AG36" s="2">
        <v>667</v>
      </c>
      <c r="AH36" s="2">
        <v>2844</v>
      </c>
      <c r="AI36" s="2">
        <v>154</v>
      </c>
      <c r="AJ36" s="2">
        <v>10647</v>
      </c>
      <c r="AK36" s="2">
        <f t="shared" si="9"/>
        <v>16445</v>
      </c>
      <c r="AL36" s="21">
        <f t="shared" si="1"/>
        <v>2052</v>
      </c>
      <c r="AM36" s="21">
        <f t="shared" si="2"/>
        <v>4034</v>
      </c>
      <c r="AN36" s="22">
        <f t="shared" si="3"/>
        <v>0.96588693957115013</v>
      </c>
      <c r="AO36" s="22">
        <f t="shared" si="4"/>
        <v>0.37008209182122226</v>
      </c>
      <c r="AP36" s="21">
        <f t="shared" si="5"/>
        <v>3264</v>
      </c>
      <c r="AQ36" s="21">
        <f t="shared" si="6"/>
        <v>3545</v>
      </c>
      <c r="AR36" s="22">
        <f t="shared" si="7"/>
        <v>8.6090686274509803E-2</v>
      </c>
      <c r="AS36" s="22">
        <f t="shared" si="8"/>
        <v>0.4140468227424749</v>
      </c>
    </row>
    <row r="37" spans="1:45">
      <c r="A37">
        <v>35</v>
      </c>
      <c r="B37" t="s">
        <v>38</v>
      </c>
      <c r="C37" s="2">
        <v>1098</v>
      </c>
      <c r="D37" s="2">
        <v>336</v>
      </c>
      <c r="E37" s="2">
        <v>104</v>
      </c>
      <c r="F37" s="2">
        <v>38</v>
      </c>
      <c r="G37" s="2">
        <v>61</v>
      </c>
      <c r="H37" s="2">
        <v>817</v>
      </c>
      <c r="I37" s="2">
        <v>38</v>
      </c>
      <c r="J37" s="2">
        <v>1213</v>
      </c>
      <c r="K37" s="2">
        <v>45</v>
      </c>
      <c r="L37" s="2">
        <v>86</v>
      </c>
      <c r="M37" s="2">
        <v>135</v>
      </c>
      <c r="N37" s="2">
        <v>45</v>
      </c>
      <c r="O37" s="2">
        <v>189</v>
      </c>
      <c r="P37" s="2">
        <v>471</v>
      </c>
      <c r="Q37" s="2">
        <v>2447</v>
      </c>
      <c r="R37" s="2">
        <v>42</v>
      </c>
      <c r="S37" s="2">
        <v>7167</v>
      </c>
      <c r="T37" s="2">
        <v>1587</v>
      </c>
      <c r="U37" s="2">
        <v>326</v>
      </c>
      <c r="V37" s="2">
        <v>230</v>
      </c>
      <c r="W37" s="2">
        <v>127</v>
      </c>
      <c r="X37" s="2">
        <v>181</v>
      </c>
      <c r="Y37" s="2">
        <v>984</v>
      </c>
      <c r="Z37" s="2">
        <v>73</v>
      </c>
      <c r="AA37" s="2">
        <v>1875</v>
      </c>
      <c r="AB37" s="2">
        <v>88</v>
      </c>
      <c r="AC37" s="2">
        <v>145</v>
      </c>
      <c r="AD37" s="2">
        <v>186</v>
      </c>
      <c r="AE37" s="2">
        <v>81</v>
      </c>
      <c r="AF37" s="2">
        <v>187</v>
      </c>
      <c r="AG37" s="2">
        <v>558</v>
      </c>
      <c r="AH37" s="2">
        <v>2561</v>
      </c>
      <c r="AI37" s="2">
        <v>59</v>
      </c>
      <c r="AJ37" s="2">
        <v>9249</v>
      </c>
      <c r="AK37" s="2">
        <f t="shared" si="9"/>
        <v>16416</v>
      </c>
      <c r="AL37" s="21">
        <f t="shared" si="1"/>
        <v>2415</v>
      </c>
      <c r="AM37" s="21">
        <f t="shared" si="2"/>
        <v>3692</v>
      </c>
      <c r="AN37" s="22">
        <f t="shared" si="3"/>
        <v>0.52877846790890271</v>
      </c>
      <c r="AO37" s="22">
        <f t="shared" si="4"/>
        <v>0.37201510721247566</v>
      </c>
      <c r="AP37" s="21">
        <f t="shared" si="5"/>
        <v>3045</v>
      </c>
      <c r="AQ37" s="21">
        <f t="shared" si="6"/>
        <v>4070</v>
      </c>
      <c r="AR37" s="22">
        <f t="shared" si="7"/>
        <v>0.3366174055829228</v>
      </c>
      <c r="AS37" s="22">
        <f t="shared" si="8"/>
        <v>0.43341861598440545</v>
      </c>
    </row>
    <row r="38" spans="1:45">
      <c r="A38">
        <v>36</v>
      </c>
      <c r="B38" s="3" t="s">
        <v>49</v>
      </c>
      <c r="C38" s="15">
        <v>908</v>
      </c>
      <c r="D38" s="4">
        <v>227</v>
      </c>
      <c r="E38" s="15">
        <v>72</v>
      </c>
      <c r="F38" s="4">
        <v>21</v>
      </c>
      <c r="G38" s="4">
        <v>81</v>
      </c>
      <c r="H38" s="19">
        <v>753</v>
      </c>
      <c r="I38" s="4">
        <v>27</v>
      </c>
      <c r="J38" s="15">
        <v>873</v>
      </c>
      <c r="K38" s="4">
        <v>113</v>
      </c>
      <c r="L38" s="4">
        <v>30</v>
      </c>
      <c r="M38" s="4">
        <v>127</v>
      </c>
      <c r="N38" s="4">
        <v>24</v>
      </c>
      <c r="O38" s="4">
        <v>53</v>
      </c>
      <c r="P38" s="4">
        <v>494</v>
      </c>
      <c r="Q38" s="19">
        <v>2292</v>
      </c>
      <c r="R38" s="4">
        <v>39</v>
      </c>
      <c r="S38" s="4">
        <v>6133</v>
      </c>
      <c r="T38" s="15">
        <v>1456</v>
      </c>
      <c r="U38" s="4">
        <v>476</v>
      </c>
      <c r="V38" s="15">
        <v>216</v>
      </c>
      <c r="W38" s="4">
        <v>50</v>
      </c>
      <c r="X38" s="4">
        <v>141</v>
      </c>
      <c r="Y38" s="19">
        <v>927</v>
      </c>
      <c r="Z38" s="4">
        <v>59</v>
      </c>
      <c r="AA38" s="15">
        <v>1861</v>
      </c>
      <c r="AB38" s="4">
        <v>87</v>
      </c>
      <c r="AC38" s="4">
        <v>150</v>
      </c>
      <c r="AD38" s="4">
        <v>282</v>
      </c>
      <c r="AE38" s="4">
        <v>68</v>
      </c>
      <c r="AF38" s="4">
        <v>163</v>
      </c>
      <c r="AG38" s="4">
        <v>922</v>
      </c>
      <c r="AH38" s="19">
        <v>3143</v>
      </c>
      <c r="AI38" s="4">
        <v>95</v>
      </c>
      <c r="AJ38" s="4">
        <v>10097</v>
      </c>
      <c r="AK38" s="4">
        <f t="shared" si="9"/>
        <v>16230</v>
      </c>
      <c r="AL38" s="23">
        <f t="shared" si="1"/>
        <v>1853</v>
      </c>
      <c r="AM38" s="23">
        <f t="shared" si="2"/>
        <v>3533</v>
      </c>
      <c r="AN38" s="11">
        <f t="shared" si="3"/>
        <v>0.90663788451160277</v>
      </c>
      <c r="AO38" s="11">
        <f t="shared" si="4"/>
        <v>0.33185459026494146</v>
      </c>
      <c r="AP38" s="23">
        <f t="shared" si="5"/>
        <v>4070</v>
      </c>
      <c r="AQ38" s="23">
        <f t="shared" si="6"/>
        <v>5796</v>
      </c>
      <c r="AR38" s="11">
        <f t="shared" si="7"/>
        <v>0.42407862407862407</v>
      </c>
      <c r="AS38" s="11">
        <f t="shared" si="8"/>
        <v>0.60788662969808993</v>
      </c>
    </row>
    <row r="39" spans="1:45">
      <c r="A39">
        <v>37</v>
      </c>
      <c r="B39" t="s">
        <v>31</v>
      </c>
      <c r="C39" s="2">
        <v>257</v>
      </c>
      <c r="D39" s="2">
        <v>89</v>
      </c>
      <c r="E39" s="2">
        <v>26</v>
      </c>
      <c r="F39" s="2">
        <v>3</v>
      </c>
      <c r="G39" s="2">
        <v>11</v>
      </c>
      <c r="H39" s="2">
        <v>173</v>
      </c>
      <c r="I39" s="2">
        <v>5</v>
      </c>
      <c r="J39" s="2">
        <v>498</v>
      </c>
      <c r="K39" s="2">
        <v>3</v>
      </c>
      <c r="L39" s="2">
        <v>14</v>
      </c>
      <c r="M39" s="2">
        <v>30</v>
      </c>
      <c r="N39" s="2">
        <v>5</v>
      </c>
      <c r="O39" s="2">
        <v>17</v>
      </c>
      <c r="P39" s="2">
        <v>161</v>
      </c>
      <c r="Q39" s="2">
        <v>3897</v>
      </c>
      <c r="R39" s="2">
        <v>1</v>
      </c>
      <c r="S39" s="2">
        <v>5190</v>
      </c>
      <c r="T39" s="2">
        <v>424</v>
      </c>
      <c r="U39" s="2">
        <v>173</v>
      </c>
      <c r="V39" s="2">
        <v>84</v>
      </c>
      <c r="W39" s="2">
        <v>22</v>
      </c>
      <c r="X39" s="2">
        <v>25</v>
      </c>
      <c r="Y39" s="2">
        <v>339</v>
      </c>
      <c r="Z39" s="2">
        <v>8</v>
      </c>
      <c r="AA39" s="2">
        <v>856</v>
      </c>
      <c r="AB39" s="2">
        <v>10</v>
      </c>
      <c r="AC39" s="2">
        <v>33</v>
      </c>
      <c r="AD39" s="2">
        <v>71</v>
      </c>
      <c r="AE39" s="2">
        <v>16</v>
      </c>
      <c r="AF39" s="2">
        <v>53</v>
      </c>
      <c r="AG39" s="2">
        <v>313</v>
      </c>
      <c r="AH39" s="2">
        <v>5457</v>
      </c>
      <c r="AI39" s="2">
        <v>3</v>
      </c>
      <c r="AJ39" s="2">
        <v>7887</v>
      </c>
      <c r="AK39" s="2">
        <f t="shared" si="9"/>
        <v>13077</v>
      </c>
      <c r="AL39" s="21">
        <f t="shared" si="1"/>
        <v>781</v>
      </c>
      <c r="AM39" s="21">
        <f t="shared" si="2"/>
        <v>1364</v>
      </c>
      <c r="AN39" s="22">
        <f t="shared" si="3"/>
        <v>0.74647887323943662</v>
      </c>
      <c r="AO39" s="22">
        <f t="shared" si="4"/>
        <v>0.16402844689148888</v>
      </c>
      <c r="AP39" s="21">
        <f t="shared" si="5"/>
        <v>997</v>
      </c>
      <c r="AQ39" s="21">
        <f t="shared" si="6"/>
        <v>1156</v>
      </c>
      <c r="AR39" s="22">
        <f t="shared" si="7"/>
        <v>0.15947843530591777</v>
      </c>
      <c r="AS39" s="22">
        <f t="shared" si="8"/>
        <v>0.16464020799877649</v>
      </c>
    </row>
    <row r="40" spans="1:45">
      <c r="A40">
        <v>38</v>
      </c>
      <c r="B40" t="s">
        <v>36</v>
      </c>
      <c r="C40" s="2">
        <v>1016</v>
      </c>
      <c r="D40" s="2">
        <v>293</v>
      </c>
      <c r="E40" s="2">
        <v>185</v>
      </c>
      <c r="F40" s="2">
        <v>89</v>
      </c>
      <c r="G40" s="2">
        <v>124</v>
      </c>
      <c r="H40" s="2">
        <v>237</v>
      </c>
      <c r="I40" s="2">
        <v>34</v>
      </c>
      <c r="J40" s="2">
        <v>1057</v>
      </c>
      <c r="K40" s="2">
        <v>58</v>
      </c>
      <c r="L40" s="2">
        <v>94</v>
      </c>
      <c r="M40" s="2">
        <v>124</v>
      </c>
      <c r="N40" s="2">
        <v>73</v>
      </c>
      <c r="O40" s="2">
        <v>86</v>
      </c>
      <c r="P40" s="2">
        <v>254</v>
      </c>
      <c r="Q40" s="2">
        <v>760</v>
      </c>
      <c r="R40" s="2">
        <v>38</v>
      </c>
      <c r="S40" s="2">
        <v>4522</v>
      </c>
      <c r="T40" s="2">
        <v>1211</v>
      </c>
      <c r="U40" s="2">
        <v>396</v>
      </c>
      <c r="V40" s="2">
        <v>261</v>
      </c>
      <c r="W40" s="2">
        <v>199</v>
      </c>
      <c r="X40" s="2">
        <v>186</v>
      </c>
      <c r="Y40" s="2">
        <v>284</v>
      </c>
      <c r="Z40" s="2">
        <v>51</v>
      </c>
      <c r="AA40" s="2">
        <v>1453</v>
      </c>
      <c r="AB40" s="2">
        <v>76</v>
      </c>
      <c r="AC40" s="2">
        <v>164</v>
      </c>
      <c r="AD40" s="2">
        <v>187</v>
      </c>
      <c r="AE40" s="2">
        <v>149</v>
      </c>
      <c r="AF40" s="2">
        <v>166</v>
      </c>
      <c r="AG40" s="2">
        <v>373</v>
      </c>
      <c r="AH40" s="2">
        <v>872</v>
      </c>
      <c r="AI40" s="2">
        <v>35</v>
      </c>
      <c r="AJ40" s="2">
        <v>6062</v>
      </c>
      <c r="AK40" s="2">
        <f t="shared" si="9"/>
        <v>10584</v>
      </c>
      <c r="AL40" s="21">
        <f t="shared" si="1"/>
        <v>2258</v>
      </c>
      <c r="AM40" s="21">
        <f t="shared" si="2"/>
        <v>2925</v>
      </c>
      <c r="AN40" s="22">
        <f t="shared" si="3"/>
        <v>0.29539415411868908</v>
      </c>
      <c r="AO40" s="22">
        <f t="shared" si="4"/>
        <v>0.48970143613000755</v>
      </c>
      <c r="AP40" s="21">
        <f t="shared" si="5"/>
        <v>2892</v>
      </c>
      <c r="AQ40" s="21">
        <f t="shared" si="6"/>
        <v>2743</v>
      </c>
      <c r="AR40" s="22">
        <f t="shared" si="7"/>
        <v>-5.1521438450899029E-2</v>
      </c>
      <c r="AS40" s="22">
        <f t="shared" si="8"/>
        <v>0.53240740740740744</v>
      </c>
    </row>
    <row r="41" spans="1:45">
      <c r="A41">
        <v>39</v>
      </c>
      <c r="B41" s="3" t="s">
        <v>34</v>
      </c>
      <c r="C41" s="15">
        <v>468</v>
      </c>
      <c r="D41" s="4">
        <v>116</v>
      </c>
      <c r="E41" s="15">
        <v>40</v>
      </c>
      <c r="F41" s="4">
        <v>15</v>
      </c>
      <c r="G41" s="4">
        <v>33</v>
      </c>
      <c r="H41" s="19">
        <v>487</v>
      </c>
      <c r="I41" s="4">
        <v>7</v>
      </c>
      <c r="J41" s="15">
        <v>564</v>
      </c>
      <c r="K41" s="4">
        <v>29</v>
      </c>
      <c r="L41" s="4">
        <v>34</v>
      </c>
      <c r="M41" s="4">
        <v>52</v>
      </c>
      <c r="N41" s="4">
        <v>14</v>
      </c>
      <c r="O41" s="4">
        <v>30</v>
      </c>
      <c r="P41" s="4">
        <v>258</v>
      </c>
      <c r="Q41" s="19">
        <v>2405</v>
      </c>
      <c r="R41" s="4">
        <v>14</v>
      </c>
      <c r="S41" s="4">
        <v>4565</v>
      </c>
      <c r="T41" s="15">
        <v>646</v>
      </c>
      <c r="U41" s="4">
        <v>119</v>
      </c>
      <c r="V41" s="15">
        <v>59</v>
      </c>
      <c r="W41" s="4">
        <v>17</v>
      </c>
      <c r="X41" s="4">
        <v>45</v>
      </c>
      <c r="Y41" s="19">
        <v>563</v>
      </c>
      <c r="Z41" s="4">
        <v>20</v>
      </c>
      <c r="AA41" s="15">
        <v>817</v>
      </c>
      <c r="AB41" s="4">
        <v>23</v>
      </c>
      <c r="AC41" s="4">
        <v>36</v>
      </c>
      <c r="AD41" s="4">
        <v>101</v>
      </c>
      <c r="AE41" s="4">
        <v>48</v>
      </c>
      <c r="AF41" s="4">
        <v>51</v>
      </c>
      <c r="AG41" s="4">
        <v>336</v>
      </c>
      <c r="AH41" s="19">
        <v>2180</v>
      </c>
      <c r="AI41" s="4">
        <v>31</v>
      </c>
      <c r="AJ41" s="4">
        <v>5093</v>
      </c>
      <c r="AK41" s="4">
        <f t="shared" si="9"/>
        <v>9658</v>
      </c>
      <c r="AL41" s="23">
        <f t="shared" si="1"/>
        <v>1072</v>
      </c>
      <c r="AM41" s="23">
        <f t="shared" si="2"/>
        <v>1522</v>
      </c>
      <c r="AN41" s="11">
        <f t="shared" si="3"/>
        <v>0.41977611940298509</v>
      </c>
      <c r="AO41" s="11">
        <f t="shared" si="4"/>
        <v>0.26858562849451234</v>
      </c>
      <c r="AP41" s="23">
        <f t="shared" si="5"/>
        <v>1572</v>
      </c>
      <c r="AQ41" s="23">
        <f t="shared" si="6"/>
        <v>1842</v>
      </c>
      <c r="AR41" s="11">
        <f t="shared" si="7"/>
        <v>0.1717557251908397</v>
      </c>
      <c r="AS41" s="11">
        <f t="shared" si="8"/>
        <v>0.35348933526610066</v>
      </c>
    </row>
    <row r="42" spans="1:45">
      <c r="A42">
        <v>40</v>
      </c>
      <c r="B42" s="3" t="s">
        <v>39</v>
      </c>
      <c r="C42" s="15">
        <v>699</v>
      </c>
      <c r="D42" s="4">
        <v>199</v>
      </c>
      <c r="E42" s="15">
        <v>41</v>
      </c>
      <c r="F42" s="4">
        <v>14</v>
      </c>
      <c r="G42" s="4">
        <v>46</v>
      </c>
      <c r="H42" s="19">
        <v>334</v>
      </c>
      <c r="I42" s="4">
        <v>33</v>
      </c>
      <c r="J42" s="15">
        <v>815</v>
      </c>
      <c r="K42" s="4">
        <v>18</v>
      </c>
      <c r="L42" s="4">
        <v>65</v>
      </c>
      <c r="M42" s="4">
        <v>91</v>
      </c>
      <c r="N42" s="4">
        <v>21</v>
      </c>
      <c r="O42" s="4">
        <v>71</v>
      </c>
      <c r="P42" s="4">
        <v>348</v>
      </c>
      <c r="Q42" s="19">
        <v>1238</v>
      </c>
      <c r="R42" s="4">
        <v>23</v>
      </c>
      <c r="S42" s="4">
        <v>4057</v>
      </c>
      <c r="T42" s="15">
        <v>912</v>
      </c>
      <c r="U42" s="4">
        <v>246</v>
      </c>
      <c r="V42" s="15">
        <v>122</v>
      </c>
      <c r="W42" s="4">
        <v>25</v>
      </c>
      <c r="X42" s="4">
        <v>98</v>
      </c>
      <c r="Y42" s="19">
        <v>453</v>
      </c>
      <c r="Z42" s="4">
        <v>25</v>
      </c>
      <c r="AA42" s="15">
        <v>1289</v>
      </c>
      <c r="AB42" s="4">
        <v>36</v>
      </c>
      <c r="AC42" s="4">
        <v>61</v>
      </c>
      <c r="AD42" s="4">
        <v>120</v>
      </c>
      <c r="AE42" s="4">
        <v>65</v>
      </c>
      <c r="AF42" s="4">
        <v>70</v>
      </c>
      <c r="AG42" s="4">
        <v>418</v>
      </c>
      <c r="AH42" s="19">
        <v>1389</v>
      </c>
      <c r="AI42" s="4">
        <v>23</v>
      </c>
      <c r="AJ42" s="4">
        <v>5354</v>
      </c>
      <c r="AK42" s="4">
        <f t="shared" si="9"/>
        <v>9411</v>
      </c>
      <c r="AL42" s="23">
        <f t="shared" si="1"/>
        <v>1555</v>
      </c>
      <c r="AM42" s="23">
        <f t="shared" si="2"/>
        <v>2323</v>
      </c>
      <c r="AN42" s="11">
        <f t="shared" si="3"/>
        <v>0.49389067524115754</v>
      </c>
      <c r="AO42" s="11">
        <f t="shared" si="4"/>
        <v>0.41207098076718734</v>
      </c>
      <c r="AP42" s="23">
        <f t="shared" si="5"/>
        <v>1051</v>
      </c>
      <c r="AQ42" s="23">
        <f t="shared" si="6"/>
        <v>1543</v>
      </c>
      <c r="AR42" s="11">
        <f t="shared" si="7"/>
        <v>0.4681255946717412</v>
      </c>
      <c r="AS42" s="11">
        <f t="shared" si="8"/>
        <v>0.27563489533524599</v>
      </c>
    </row>
    <row r="43" spans="1:45">
      <c r="A43">
        <v>41</v>
      </c>
      <c r="B43" s="3" t="s">
        <v>42</v>
      </c>
      <c r="C43" s="15">
        <v>548</v>
      </c>
      <c r="D43" s="4">
        <v>141</v>
      </c>
      <c r="E43" s="15">
        <v>86</v>
      </c>
      <c r="F43" s="4">
        <v>19</v>
      </c>
      <c r="G43" s="4">
        <v>70</v>
      </c>
      <c r="H43" s="19">
        <v>226</v>
      </c>
      <c r="I43" s="4">
        <v>80</v>
      </c>
      <c r="J43" s="15">
        <v>576</v>
      </c>
      <c r="K43" s="4">
        <v>59</v>
      </c>
      <c r="L43" s="4">
        <v>63</v>
      </c>
      <c r="M43" s="4">
        <v>71</v>
      </c>
      <c r="N43" s="4">
        <v>34</v>
      </c>
      <c r="O43" s="4">
        <v>85</v>
      </c>
      <c r="P43" s="4">
        <v>249</v>
      </c>
      <c r="Q43" s="19">
        <v>825</v>
      </c>
      <c r="R43" s="4">
        <v>19</v>
      </c>
      <c r="S43" s="4">
        <v>3152</v>
      </c>
      <c r="T43" s="15">
        <v>863</v>
      </c>
      <c r="U43" s="4">
        <v>214</v>
      </c>
      <c r="V43" s="15">
        <v>130</v>
      </c>
      <c r="W43" s="4">
        <v>63</v>
      </c>
      <c r="X43" s="4">
        <v>119</v>
      </c>
      <c r="Y43" s="19">
        <v>372</v>
      </c>
      <c r="Z43" s="4">
        <v>59</v>
      </c>
      <c r="AA43" s="15">
        <v>986</v>
      </c>
      <c r="AB43" s="4">
        <v>53</v>
      </c>
      <c r="AC43" s="4">
        <v>80</v>
      </c>
      <c r="AD43" s="4">
        <v>106</v>
      </c>
      <c r="AE43" s="4">
        <v>70</v>
      </c>
      <c r="AF43" s="4">
        <v>125</v>
      </c>
      <c r="AG43" s="4">
        <v>338</v>
      </c>
      <c r="AH43" s="19">
        <v>1171</v>
      </c>
      <c r="AI43" s="4">
        <v>45</v>
      </c>
      <c r="AJ43" s="4">
        <v>4793</v>
      </c>
      <c r="AK43" s="4">
        <f t="shared" si="9"/>
        <v>7945</v>
      </c>
      <c r="AL43" s="23">
        <f t="shared" si="1"/>
        <v>1210</v>
      </c>
      <c r="AM43" s="23">
        <f t="shared" si="2"/>
        <v>1979</v>
      </c>
      <c r="AN43" s="11">
        <f t="shared" si="3"/>
        <v>0.63553719008264464</v>
      </c>
      <c r="AO43" s="11">
        <f t="shared" si="4"/>
        <v>0.4013845185651353</v>
      </c>
      <c r="AP43" s="23">
        <f t="shared" si="5"/>
        <v>774</v>
      </c>
      <c r="AQ43" s="23">
        <f t="shared" si="6"/>
        <v>1363</v>
      </c>
      <c r="AR43" s="11">
        <f t="shared" si="7"/>
        <v>0.76098191214470279</v>
      </c>
      <c r="AS43" s="11">
        <f t="shared" si="8"/>
        <v>0.26897419760855884</v>
      </c>
    </row>
    <row r="44" spans="1:45">
      <c r="A44">
        <v>42</v>
      </c>
      <c r="B44" t="s">
        <v>14</v>
      </c>
      <c r="C44" s="2">
        <v>259</v>
      </c>
      <c r="D44" s="2">
        <v>96</v>
      </c>
      <c r="E44" s="2">
        <v>35</v>
      </c>
      <c r="F44" s="2">
        <v>8</v>
      </c>
      <c r="G44" s="2">
        <v>28</v>
      </c>
      <c r="H44" s="2">
        <v>100</v>
      </c>
      <c r="I44" s="2">
        <v>15</v>
      </c>
      <c r="J44" s="2">
        <v>288</v>
      </c>
      <c r="K44" s="2">
        <v>31</v>
      </c>
      <c r="L44" s="2">
        <v>21</v>
      </c>
      <c r="M44" s="2">
        <v>44</v>
      </c>
      <c r="N44" s="2">
        <v>29</v>
      </c>
      <c r="O44" s="2">
        <v>47</v>
      </c>
      <c r="P44" s="2">
        <v>143</v>
      </c>
      <c r="Q44" s="2">
        <v>674</v>
      </c>
      <c r="R44" s="2">
        <v>11</v>
      </c>
      <c r="S44" s="2">
        <v>1827</v>
      </c>
      <c r="T44" s="2">
        <v>489</v>
      </c>
      <c r="U44" s="2">
        <v>214</v>
      </c>
      <c r="V44" s="2">
        <v>73</v>
      </c>
      <c r="W44" s="2">
        <v>36</v>
      </c>
      <c r="X44" s="2">
        <v>63</v>
      </c>
      <c r="Y44" s="2">
        <v>182</v>
      </c>
      <c r="Z44" s="2">
        <v>22</v>
      </c>
      <c r="AA44" s="2">
        <v>595</v>
      </c>
      <c r="AB44" s="2">
        <v>65</v>
      </c>
      <c r="AC44" s="2">
        <v>54</v>
      </c>
      <c r="AD44" s="2">
        <v>100</v>
      </c>
      <c r="AE44" s="2">
        <v>55</v>
      </c>
      <c r="AF44" s="2">
        <v>77</v>
      </c>
      <c r="AG44" s="2">
        <v>267</v>
      </c>
      <c r="AH44" s="2">
        <v>1181</v>
      </c>
      <c r="AI44" s="2">
        <v>26</v>
      </c>
      <c r="AJ44" s="2">
        <v>3499</v>
      </c>
      <c r="AK44" s="2">
        <f t="shared" si="9"/>
        <v>5326</v>
      </c>
      <c r="AL44" s="21">
        <f t="shared" si="1"/>
        <v>582</v>
      </c>
      <c r="AM44" s="21">
        <f t="shared" si="2"/>
        <v>1157</v>
      </c>
      <c r="AN44" s="22">
        <f t="shared" si="3"/>
        <v>0.98797250859106533</v>
      </c>
      <c r="AO44" s="22">
        <f t="shared" si="4"/>
        <v>0.32651145324821629</v>
      </c>
      <c r="AP44" s="21">
        <f t="shared" si="5"/>
        <v>1412</v>
      </c>
      <c r="AQ44" s="21">
        <f t="shared" si="6"/>
        <v>1373</v>
      </c>
      <c r="AR44" s="22">
        <f t="shared" si="7"/>
        <v>-2.7620396600566571E-2</v>
      </c>
      <c r="AS44" s="22">
        <f t="shared" si="8"/>
        <v>0.52290649643259479</v>
      </c>
    </row>
    <row r="45" spans="1:45">
      <c r="A45">
        <v>43</v>
      </c>
      <c r="B45" s="3" t="s">
        <v>8</v>
      </c>
      <c r="C45" s="15">
        <v>171</v>
      </c>
      <c r="D45" s="4">
        <v>51</v>
      </c>
      <c r="E45" s="15">
        <v>17</v>
      </c>
      <c r="F45" s="4">
        <v>43</v>
      </c>
      <c r="G45" s="4">
        <v>16</v>
      </c>
      <c r="H45" s="19">
        <v>220</v>
      </c>
      <c r="I45" s="4">
        <v>7</v>
      </c>
      <c r="J45" s="15">
        <v>339</v>
      </c>
      <c r="K45" s="4">
        <v>7</v>
      </c>
      <c r="L45" s="4">
        <v>24</v>
      </c>
      <c r="M45" s="4">
        <v>23</v>
      </c>
      <c r="N45" s="4">
        <v>5</v>
      </c>
      <c r="O45" s="4">
        <v>11</v>
      </c>
      <c r="P45" s="4">
        <v>95</v>
      </c>
      <c r="Q45" s="19">
        <v>1192</v>
      </c>
      <c r="R45" s="4">
        <v>4</v>
      </c>
      <c r="S45" s="4">
        <v>2225</v>
      </c>
      <c r="T45" s="15">
        <v>121</v>
      </c>
      <c r="U45" s="4">
        <v>45</v>
      </c>
      <c r="V45" s="15">
        <v>27</v>
      </c>
      <c r="W45" s="4">
        <v>14</v>
      </c>
      <c r="X45" s="4">
        <v>19</v>
      </c>
      <c r="Y45" s="19">
        <v>201</v>
      </c>
      <c r="Z45" s="4">
        <v>3</v>
      </c>
      <c r="AA45" s="15">
        <v>272</v>
      </c>
      <c r="AB45" s="4">
        <v>16</v>
      </c>
      <c r="AC45" s="4">
        <v>15</v>
      </c>
      <c r="AD45" s="4">
        <v>17</v>
      </c>
      <c r="AE45" s="4">
        <v>12</v>
      </c>
      <c r="AF45" s="4">
        <v>34</v>
      </c>
      <c r="AG45" s="4">
        <v>132</v>
      </c>
      <c r="AH45" s="19">
        <v>1172</v>
      </c>
      <c r="AI45" s="4">
        <v>10</v>
      </c>
      <c r="AJ45" s="4">
        <v>2110</v>
      </c>
      <c r="AK45" s="4">
        <f t="shared" si="9"/>
        <v>4335</v>
      </c>
      <c r="AL45" s="23">
        <f t="shared" si="1"/>
        <v>527</v>
      </c>
      <c r="AM45" s="23">
        <f t="shared" si="2"/>
        <v>420</v>
      </c>
      <c r="AN45" s="11">
        <f t="shared" si="3"/>
        <v>-0.20303605313092979</v>
      </c>
      <c r="AO45" s="11">
        <f t="shared" si="4"/>
        <v>0.21845444059976932</v>
      </c>
      <c r="AP45" s="23">
        <f t="shared" si="5"/>
        <v>746</v>
      </c>
      <c r="AQ45" s="23">
        <f t="shared" si="6"/>
        <v>775</v>
      </c>
      <c r="AR45" s="11">
        <f t="shared" si="7"/>
        <v>3.8873994638069703E-2</v>
      </c>
      <c r="AS45" s="11">
        <f t="shared" si="8"/>
        <v>0.35086505190311418</v>
      </c>
    </row>
    <row r="46" spans="1:45">
      <c r="A46">
        <v>44</v>
      </c>
      <c r="B46" s="3" t="s">
        <v>40</v>
      </c>
      <c r="C46" s="15">
        <v>287</v>
      </c>
      <c r="D46" s="4">
        <v>176</v>
      </c>
      <c r="E46" s="15">
        <v>30</v>
      </c>
      <c r="F46" s="4">
        <v>18</v>
      </c>
      <c r="G46" s="4">
        <v>20</v>
      </c>
      <c r="H46" s="19">
        <v>363</v>
      </c>
      <c r="I46" s="4">
        <v>4</v>
      </c>
      <c r="J46" s="15">
        <v>286</v>
      </c>
      <c r="K46" s="4">
        <v>8</v>
      </c>
      <c r="L46" s="4">
        <v>13</v>
      </c>
      <c r="M46" s="4">
        <v>27</v>
      </c>
      <c r="N46" s="4">
        <v>11</v>
      </c>
      <c r="O46" s="4">
        <v>22</v>
      </c>
      <c r="P46" s="4">
        <v>168</v>
      </c>
      <c r="Q46" s="19">
        <v>383</v>
      </c>
      <c r="R46" s="4">
        <v>2</v>
      </c>
      <c r="S46" s="4">
        <v>1819</v>
      </c>
      <c r="T46" s="15">
        <v>411</v>
      </c>
      <c r="U46" s="4">
        <v>251</v>
      </c>
      <c r="V46" s="15">
        <v>36</v>
      </c>
      <c r="W46" s="4">
        <v>51</v>
      </c>
      <c r="X46" s="4">
        <v>32</v>
      </c>
      <c r="Y46" s="19">
        <v>388</v>
      </c>
      <c r="Z46" s="4">
        <v>9</v>
      </c>
      <c r="AA46" s="15">
        <v>418</v>
      </c>
      <c r="AB46" s="4">
        <v>13</v>
      </c>
      <c r="AC46" s="4">
        <v>22</v>
      </c>
      <c r="AD46" s="4">
        <v>33</v>
      </c>
      <c r="AE46" s="4">
        <v>32</v>
      </c>
      <c r="AF46" s="4">
        <v>64</v>
      </c>
      <c r="AG46" s="4">
        <v>228</v>
      </c>
      <c r="AH46" s="19">
        <v>387</v>
      </c>
      <c r="AI46" s="4">
        <v>6</v>
      </c>
      <c r="AJ46" s="4">
        <v>2381</v>
      </c>
      <c r="AK46" s="4">
        <f t="shared" si="9"/>
        <v>4200</v>
      </c>
      <c r="AL46" s="23">
        <f t="shared" si="1"/>
        <v>603</v>
      </c>
      <c r="AM46" s="23">
        <f t="shared" si="2"/>
        <v>865</v>
      </c>
      <c r="AN46" s="11">
        <f t="shared" si="3"/>
        <v>0.43449419568822556</v>
      </c>
      <c r="AO46" s="11">
        <f t="shared" si="4"/>
        <v>0.34952380952380951</v>
      </c>
      <c r="AP46" s="23">
        <f t="shared" si="5"/>
        <v>570</v>
      </c>
      <c r="AQ46" s="23">
        <f t="shared" si="6"/>
        <v>720</v>
      </c>
      <c r="AR46" s="11">
        <f t="shared" si="7"/>
        <v>0.26315789473684209</v>
      </c>
      <c r="AS46" s="11">
        <f t="shared" si="8"/>
        <v>0.30714285714285716</v>
      </c>
    </row>
    <row r="47" spans="1:45">
      <c r="A47">
        <v>45</v>
      </c>
      <c r="B47" s="3" t="s">
        <v>0</v>
      </c>
      <c r="C47" s="15">
        <v>466</v>
      </c>
      <c r="D47" s="4">
        <v>45</v>
      </c>
      <c r="E47" s="15">
        <v>21</v>
      </c>
      <c r="F47" s="4">
        <v>4</v>
      </c>
      <c r="G47" s="4">
        <v>10</v>
      </c>
      <c r="H47" s="19">
        <v>256</v>
      </c>
      <c r="I47" s="4">
        <v>13</v>
      </c>
      <c r="J47" s="15">
        <v>297</v>
      </c>
      <c r="K47" s="4">
        <v>10</v>
      </c>
      <c r="L47" s="4">
        <v>11</v>
      </c>
      <c r="M47" s="4">
        <v>32</v>
      </c>
      <c r="N47" s="4">
        <v>10</v>
      </c>
      <c r="O47" s="4">
        <v>17</v>
      </c>
      <c r="P47" s="4">
        <v>185</v>
      </c>
      <c r="Q47" s="19">
        <v>314</v>
      </c>
      <c r="R47" s="4">
        <v>12</v>
      </c>
      <c r="S47" s="4">
        <v>1703</v>
      </c>
      <c r="T47" s="15">
        <v>569</v>
      </c>
      <c r="U47" s="4">
        <v>84</v>
      </c>
      <c r="V47" s="15">
        <v>56</v>
      </c>
      <c r="W47" s="4">
        <v>13</v>
      </c>
      <c r="X47" s="4">
        <v>17</v>
      </c>
      <c r="Y47" s="19">
        <v>354</v>
      </c>
      <c r="Z47" s="4">
        <v>9</v>
      </c>
      <c r="AA47" s="15">
        <v>528</v>
      </c>
      <c r="AB47" s="4">
        <v>6</v>
      </c>
      <c r="AC47" s="4">
        <v>14</v>
      </c>
      <c r="AD47" s="4">
        <v>36</v>
      </c>
      <c r="AE47" s="4">
        <v>14</v>
      </c>
      <c r="AF47" s="4">
        <v>40</v>
      </c>
      <c r="AG47" s="4">
        <v>155</v>
      </c>
      <c r="AH47" s="19">
        <v>366</v>
      </c>
      <c r="AI47" s="4">
        <v>8</v>
      </c>
      <c r="AJ47" s="4">
        <v>2269</v>
      </c>
      <c r="AK47" s="4">
        <f t="shared" si="9"/>
        <v>3972</v>
      </c>
      <c r="AL47" s="23">
        <f t="shared" si="1"/>
        <v>784</v>
      </c>
      <c r="AM47" s="23">
        <f t="shared" si="2"/>
        <v>1153</v>
      </c>
      <c r="AN47" s="11">
        <f t="shared" si="3"/>
        <v>0.47066326530612246</v>
      </c>
      <c r="AO47" s="11">
        <f t="shared" si="4"/>
        <v>0.4876636455186304</v>
      </c>
      <c r="AP47" s="23">
        <f t="shared" si="5"/>
        <v>614</v>
      </c>
      <c r="AQ47" s="23">
        <f t="shared" si="6"/>
        <v>467</v>
      </c>
      <c r="AR47" s="11">
        <f t="shared" si="7"/>
        <v>-0.23941368078175895</v>
      </c>
      <c r="AS47" s="11">
        <f t="shared" si="8"/>
        <v>0.27215508559919438</v>
      </c>
    </row>
    <row r="48" spans="1:45">
      <c r="A48">
        <v>46</v>
      </c>
      <c r="B48" s="3" t="s">
        <v>24</v>
      </c>
      <c r="C48" s="15">
        <v>29</v>
      </c>
      <c r="D48" s="4">
        <v>13</v>
      </c>
      <c r="E48" s="15">
        <v>4</v>
      </c>
      <c r="F48" s="4">
        <v>0</v>
      </c>
      <c r="G48" s="4">
        <v>1</v>
      </c>
      <c r="H48" s="19">
        <v>167</v>
      </c>
      <c r="I48" s="4">
        <v>0</v>
      </c>
      <c r="J48" s="15">
        <v>62</v>
      </c>
      <c r="K48" s="4">
        <v>5</v>
      </c>
      <c r="L48" s="4">
        <v>0</v>
      </c>
      <c r="M48" s="4">
        <v>1</v>
      </c>
      <c r="N48" s="4">
        <v>1</v>
      </c>
      <c r="O48" s="4">
        <v>0</v>
      </c>
      <c r="P48" s="4">
        <v>15</v>
      </c>
      <c r="Q48" s="19">
        <v>447</v>
      </c>
      <c r="R48" s="4">
        <v>0</v>
      </c>
      <c r="S48" s="4">
        <v>745</v>
      </c>
      <c r="T48" s="15">
        <v>37</v>
      </c>
      <c r="U48" s="4">
        <v>12</v>
      </c>
      <c r="V48" s="15">
        <v>1</v>
      </c>
      <c r="W48" s="4">
        <v>0</v>
      </c>
      <c r="X48" s="4">
        <v>0</v>
      </c>
      <c r="Y48" s="19">
        <v>126</v>
      </c>
      <c r="Z48" s="4">
        <v>1</v>
      </c>
      <c r="AA48" s="15">
        <v>66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15</v>
      </c>
      <c r="AH48" s="19">
        <v>341</v>
      </c>
      <c r="AI48" s="4">
        <v>0</v>
      </c>
      <c r="AJ48" s="4">
        <v>600</v>
      </c>
      <c r="AK48" s="4">
        <f t="shared" si="9"/>
        <v>1345</v>
      </c>
      <c r="AL48" s="23">
        <f t="shared" si="1"/>
        <v>95</v>
      </c>
      <c r="AM48" s="23">
        <f t="shared" si="2"/>
        <v>104</v>
      </c>
      <c r="AN48" s="11">
        <f t="shared" si="3"/>
        <v>9.4736842105263161E-2</v>
      </c>
      <c r="AO48" s="11">
        <f t="shared" si="4"/>
        <v>0.1479553903345725</v>
      </c>
      <c r="AP48" s="23">
        <f t="shared" si="5"/>
        <v>261</v>
      </c>
      <c r="AQ48" s="23">
        <f t="shared" si="6"/>
        <v>302</v>
      </c>
      <c r="AR48" s="11">
        <f t="shared" si="7"/>
        <v>0.15708812260536398</v>
      </c>
      <c r="AS48" s="11">
        <f t="shared" si="8"/>
        <v>0.41858736059479557</v>
      </c>
    </row>
    <row r="49" spans="1:45">
      <c r="A49">
        <v>47</v>
      </c>
      <c r="B49" t="s">
        <v>9</v>
      </c>
      <c r="C49" s="2">
        <v>3</v>
      </c>
      <c r="D49" s="2">
        <v>2</v>
      </c>
      <c r="E49" s="2">
        <v>0</v>
      </c>
      <c r="F49" s="2">
        <v>0</v>
      </c>
      <c r="G49" s="2">
        <v>0</v>
      </c>
      <c r="H49" s="2">
        <v>29</v>
      </c>
      <c r="I49" s="2">
        <v>0</v>
      </c>
      <c r="J49" s="2">
        <v>5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</v>
      </c>
      <c r="Q49" s="2">
        <v>232</v>
      </c>
      <c r="R49" s="2">
        <v>0</v>
      </c>
      <c r="S49" s="2">
        <v>274</v>
      </c>
      <c r="T49" s="2">
        <v>29</v>
      </c>
      <c r="U49" s="2">
        <v>3</v>
      </c>
      <c r="V49" s="2">
        <v>0</v>
      </c>
      <c r="W49" s="2">
        <v>0</v>
      </c>
      <c r="X49" s="2">
        <v>0</v>
      </c>
      <c r="Y49" s="2">
        <v>36</v>
      </c>
      <c r="Z49" s="2">
        <v>0</v>
      </c>
      <c r="AA49" s="2">
        <v>31</v>
      </c>
      <c r="AB49" s="2">
        <v>0</v>
      </c>
      <c r="AC49" s="2">
        <v>0</v>
      </c>
      <c r="AD49" s="2">
        <v>1</v>
      </c>
      <c r="AE49" s="2">
        <v>1</v>
      </c>
      <c r="AF49" s="2">
        <v>0</v>
      </c>
      <c r="AG49" s="2">
        <v>10</v>
      </c>
      <c r="AH49" s="2">
        <v>266</v>
      </c>
      <c r="AI49" s="2">
        <v>0</v>
      </c>
      <c r="AJ49" s="2">
        <v>379</v>
      </c>
      <c r="AK49" s="2">
        <f t="shared" si="9"/>
        <v>653</v>
      </c>
      <c r="AL49" s="21">
        <f t="shared" si="1"/>
        <v>8</v>
      </c>
      <c r="AM49" s="21">
        <f t="shared" si="2"/>
        <v>60</v>
      </c>
      <c r="AN49" s="22">
        <f t="shared" si="3"/>
        <v>6.5</v>
      </c>
      <c r="AO49" s="22">
        <f t="shared" si="4"/>
        <v>0.10413476263399694</v>
      </c>
      <c r="AP49" s="21">
        <f t="shared" si="5"/>
        <v>112</v>
      </c>
      <c r="AQ49" s="21">
        <f t="shared" si="6"/>
        <v>109</v>
      </c>
      <c r="AR49" s="22">
        <f t="shared" si="7"/>
        <v>-2.6785714285714284E-2</v>
      </c>
      <c r="AS49" s="22">
        <f t="shared" si="8"/>
        <v>0.33843797856049007</v>
      </c>
    </row>
    <row r="50" spans="1:45">
      <c r="A50">
        <v>48</v>
      </c>
      <c r="B50" s="3" t="s">
        <v>27</v>
      </c>
      <c r="C50" s="15">
        <v>31</v>
      </c>
      <c r="D50" s="4">
        <v>5</v>
      </c>
      <c r="E50" s="15">
        <v>1</v>
      </c>
      <c r="F50" s="4">
        <v>0</v>
      </c>
      <c r="G50" s="4">
        <v>2</v>
      </c>
      <c r="H50" s="19">
        <v>20</v>
      </c>
      <c r="I50" s="4">
        <v>0</v>
      </c>
      <c r="J50" s="15">
        <v>35</v>
      </c>
      <c r="K50" s="4">
        <v>1</v>
      </c>
      <c r="L50" s="4">
        <v>2</v>
      </c>
      <c r="M50" s="4">
        <v>2</v>
      </c>
      <c r="N50" s="4">
        <v>1</v>
      </c>
      <c r="O50" s="4">
        <v>6</v>
      </c>
      <c r="P50" s="4">
        <v>9</v>
      </c>
      <c r="Q50" s="19">
        <v>92</v>
      </c>
      <c r="R50" s="4">
        <v>0</v>
      </c>
      <c r="S50" s="4">
        <v>206</v>
      </c>
      <c r="T50" s="15">
        <v>47</v>
      </c>
      <c r="U50" s="4">
        <v>2</v>
      </c>
      <c r="V50" s="15">
        <v>1</v>
      </c>
      <c r="W50" s="4">
        <v>0</v>
      </c>
      <c r="X50" s="4">
        <v>2</v>
      </c>
      <c r="Y50" s="19">
        <v>18</v>
      </c>
      <c r="Z50" s="4">
        <v>0</v>
      </c>
      <c r="AA50" s="15">
        <v>46</v>
      </c>
      <c r="AB50" s="4">
        <v>1</v>
      </c>
      <c r="AC50" s="4">
        <v>1</v>
      </c>
      <c r="AD50" s="4">
        <v>1</v>
      </c>
      <c r="AE50" s="4">
        <v>1</v>
      </c>
      <c r="AF50" s="4">
        <v>6</v>
      </c>
      <c r="AG50" s="4">
        <v>12</v>
      </c>
      <c r="AH50" s="19">
        <v>91</v>
      </c>
      <c r="AI50" s="4">
        <v>0</v>
      </c>
      <c r="AJ50" s="4">
        <v>229</v>
      </c>
      <c r="AK50" s="4">
        <f t="shared" si="9"/>
        <v>435</v>
      </c>
      <c r="AL50" s="23">
        <f t="shared" si="1"/>
        <v>67</v>
      </c>
      <c r="AM50" s="23">
        <f t="shared" si="2"/>
        <v>94</v>
      </c>
      <c r="AN50" s="11">
        <f t="shared" si="3"/>
        <v>0.40298507462686567</v>
      </c>
      <c r="AO50" s="11">
        <f t="shared" si="4"/>
        <v>0.37011494252873561</v>
      </c>
      <c r="AP50" s="23">
        <f t="shared" si="5"/>
        <v>36</v>
      </c>
      <c r="AQ50" s="23">
        <f t="shared" si="6"/>
        <v>109</v>
      </c>
      <c r="AR50" s="11">
        <f t="shared" si="7"/>
        <v>2.0277777777777777</v>
      </c>
      <c r="AS50" s="11">
        <f t="shared" si="8"/>
        <v>0.33333333333333331</v>
      </c>
    </row>
    <row r="51" spans="1:45">
      <c r="A51">
        <v>49</v>
      </c>
      <c r="B51" t="s">
        <v>2</v>
      </c>
      <c r="C51" s="2">
        <v>16</v>
      </c>
      <c r="D51" s="2">
        <v>9</v>
      </c>
      <c r="E51" s="2">
        <v>0</v>
      </c>
      <c r="F51" s="2">
        <v>0</v>
      </c>
      <c r="G51" s="2">
        <v>0</v>
      </c>
      <c r="H51" s="2">
        <v>22</v>
      </c>
      <c r="I51" s="2">
        <v>0</v>
      </c>
      <c r="J51" s="2">
        <v>16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9</v>
      </c>
      <c r="Q51" s="2">
        <v>14</v>
      </c>
      <c r="R51" s="2">
        <v>0</v>
      </c>
      <c r="S51" s="2">
        <v>87</v>
      </c>
      <c r="T51" s="2">
        <v>59</v>
      </c>
      <c r="U51" s="2">
        <v>37</v>
      </c>
      <c r="V51" s="2">
        <v>5</v>
      </c>
      <c r="W51" s="2">
        <v>8</v>
      </c>
      <c r="X51" s="2">
        <v>5</v>
      </c>
      <c r="Y51" s="2">
        <v>55</v>
      </c>
      <c r="Z51" s="2">
        <v>1</v>
      </c>
      <c r="AA51" s="2">
        <v>60</v>
      </c>
      <c r="AB51" s="2">
        <v>1</v>
      </c>
      <c r="AC51" s="2">
        <v>3</v>
      </c>
      <c r="AD51" s="2">
        <v>5</v>
      </c>
      <c r="AE51" s="2">
        <v>5</v>
      </c>
      <c r="AF51" s="2">
        <v>10</v>
      </c>
      <c r="AG51" s="2">
        <v>34</v>
      </c>
      <c r="AH51" s="2">
        <v>54</v>
      </c>
      <c r="AI51" s="2">
        <v>0</v>
      </c>
      <c r="AJ51" s="2">
        <v>340</v>
      </c>
      <c r="AK51" s="2">
        <f t="shared" si="9"/>
        <v>427</v>
      </c>
      <c r="AL51" s="21">
        <f t="shared" si="1"/>
        <v>32</v>
      </c>
      <c r="AM51" s="21">
        <f t="shared" si="2"/>
        <v>124</v>
      </c>
      <c r="AN51" s="22">
        <f t="shared" si="3"/>
        <v>2.875</v>
      </c>
      <c r="AO51" s="22">
        <f t="shared" si="4"/>
        <v>0.36533957845433257</v>
      </c>
      <c r="AP51" s="21">
        <f t="shared" si="5"/>
        <v>1</v>
      </c>
      <c r="AQ51" s="21">
        <f t="shared" si="6"/>
        <v>1</v>
      </c>
      <c r="AR51" s="22">
        <f t="shared" si="7"/>
        <v>0</v>
      </c>
      <c r="AS51" s="22">
        <f t="shared" si="8"/>
        <v>4.6838407494145199E-3</v>
      </c>
    </row>
    <row r="52" spans="1:45">
      <c r="A52">
        <v>50</v>
      </c>
      <c r="B52" t="s">
        <v>15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2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4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</v>
      </c>
      <c r="AI52" s="2">
        <v>0</v>
      </c>
      <c r="AJ52" s="2">
        <v>4</v>
      </c>
      <c r="AK52" s="2">
        <f t="shared" si="9"/>
        <v>8</v>
      </c>
      <c r="AL52" s="21">
        <f t="shared" si="1"/>
        <v>2</v>
      </c>
      <c r="AM52" s="21">
        <f t="shared" si="2"/>
        <v>2</v>
      </c>
      <c r="AN52" s="22">
        <f t="shared" si="3"/>
        <v>0</v>
      </c>
      <c r="AO52" s="22">
        <f t="shared" si="4"/>
        <v>0.5</v>
      </c>
      <c r="AP52" s="21">
        <f t="shared" si="5"/>
        <v>0</v>
      </c>
      <c r="AQ52" s="21">
        <f t="shared" si="6"/>
        <v>0</v>
      </c>
      <c r="AR52" s="22" t="e">
        <f t="shared" si="7"/>
        <v>#DIV/0!</v>
      </c>
      <c r="AS52" s="22">
        <f t="shared" si="8"/>
        <v>0</v>
      </c>
    </row>
  </sheetData>
  <sortState xmlns:xlrd2="http://schemas.microsoft.com/office/spreadsheetml/2017/richdata2" ref="B3:AK52">
    <sortCondition descending="1" ref="AK3:AK52"/>
  </sortState>
  <mergeCells count="4">
    <mergeCell ref="C1:S1"/>
    <mergeCell ref="T1:AJ1"/>
    <mergeCell ref="AL2:AM2"/>
    <mergeCell ref="AP2:AQ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DA4B-2468-450C-A50C-F21A01690115}">
  <dimension ref="A1:I52"/>
  <sheetViews>
    <sheetView workbookViewId="0">
      <selection activeCell="B2" sqref="B2"/>
    </sheetView>
  </sheetViews>
  <sheetFormatPr defaultRowHeight="14.4"/>
  <cols>
    <col min="1" max="1" width="5.33203125" bestFit="1" customWidth="1"/>
    <col min="2" max="2" width="23.33203125" bestFit="1" customWidth="1"/>
    <col min="3" max="8" width="14.88671875" customWidth="1"/>
    <col min="9" max="9" width="17.5546875" bestFit="1" customWidth="1"/>
  </cols>
  <sheetData>
    <row r="1" spans="1:9">
      <c r="A1" s="7"/>
      <c r="B1" s="7"/>
      <c r="C1" s="26" t="s">
        <v>61</v>
      </c>
      <c r="D1" s="26"/>
      <c r="E1" s="26"/>
      <c r="F1" s="26" t="s">
        <v>84</v>
      </c>
      <c r="G1" s="26"/>
      <c r="H1" s="26"/>
      <c r="I1" s="7" t="s">
        <v>89</v>
      </c>
    </row>
    <row r="2" spans="1:9">
      <c r="A2" s="7" t="s">
        <v>51</v>
      </c>
      <c r="B2" s="7" t="s">
        <v>66</v>
      </c>
      <c r="C2" s="7" t="s">
        <v>87</v>
      </c>
      <c r="D2" s="7" t="s">
        <v>88</v>
      </c>
      <c r="E2" s="7" t="s">
        <v>63</v>
      </c>
      <c r="F2" s="7" t="s">
        <v>87</v>
      </c>
      <c r="G2" s="7" t="s">
        <v>88</v>
      </c>
      <c r="H2" s="7" t="s">
        <v>63</v>
      </c>
      <c r="I2" s="7" t="s">
        <v>90</v>
      </c>
    </row>
    <row r="3" spans="1:9">
      <c r="A3">
        <v>1</v>
      </c>
      <c r="B3" t="s">
        <v>1</v>
      </c>
      <c r="C3" s="1">
        <v>318919</v>
      </c>
      <c r="D3" s="1">
        <v>296533</v>
      </c>
      <c r="E3" s="1">
        <v>615452</v>
      </c>
      <c r="F3" s="1">
        <v>576566</v>
      </c>
      <c r="G3" s="1">
        <v>549501</v>
      </c>
      <c r="H3" s="1">
        <v>1126067</v>
      </c>
      <c r="I3" s="1">
        <f t="shared" ref="I3:I34" si="0">H3+E3</f>
        <v>1741519</v>
      </c>
    </row>
    <row r="4" spans="1:9">
      <c r="A4">
        <v>2</v>
      </c>
      <c r="B4" s="3" t="s">
        <v>33</v>
      </c>
      <c r="C4" s="4">
        <v>237790</v>
      </c>
      <c r="D4" s="4">
        <v>258726</v>
      </c>
      <c r="E4" s="4">
        <v>496516</v>
      </c>
      <c r="F4" s="4">
        <v>453899</v>
      </c>
      <c r="G4" s="4">
        <v>528720</v>
      </c>
      <c r="H4" s="4">
        <v>982619</v>
      </c>
      <c r="I4" s="4">
        <f t="shared" si="0"/>
        <v>1479135</v>
      </c>
    </row>
    <row r="5" spans="1:9">
      <c r="A5">
        <v>3</v>
      </c>
      <c r="B5" t="s">
        <v>17</v>
      </c>
      <c r="C5" s="1">
        <v>210390</v>
      </c>
      <c r="D5" s="1">
        <v>231463</v>
      </c>
      <c r="E5" s="1">
        <v>441853</v>
      </c>
      <c r="F5" s="1">
        <v>372352</v>
      </c>
      <c r="G5" s="1">
        <v>435566</v>
      </c>
      <c r="H5" s="1">
        <v>807918</v>
      </c>
      <c r="I5" s="1">
        <f t="shared" si="0"/>
        <v>1249771</v>
      </c>
    </row>
    <row r="6" spans="1:9">
      <c r="A6">
        <v>4</v>
      </c>
      <c r="B6" t="s">
        <v>23</v>
      </c>
      <c r="C6" s="1">
        <v>166988</v>
      </c>
      <c r="D6" s="1">
        <v>168162</v>
      </c>
      <c r="E6" s="1">
        <v>335151</v>
      </c>
      <c r="F6" s="1">
        <v>304986</v>
      </c>
      <c r="G6" s="1">
        <v>347827</v>
      </c>
      <c r="H6" s="1">
        <v>652813</v>
      </c>
      <c r="I6" s="1">
        <f t="shared" si="0"/>
        <v>987964</v>
      </c>
    </row>
    <row r="7" spans="1:9">
      <c r="A7">
        <v>5</v>
      </c>
      <c r="B7" t="s">
        <v>16</v>
      </c>
      <c r="C7" s="1">
        <v>105310</v>
      </c>
      <c r="D7" s="1">
        <v>116767</v>
      </c>
      <c r="E7" s="1">
        <v>222077</v>
      </c>
      <c r="F7" s="1">
        <v>210948</v>
      </c>
      <c r="G7" s="1">
        <v>260671</v>
      </c>
      <c r="H7" s="1">
        <v>471620</v>
      </c>
      <c r="I7" s="1">
        <f t="shared" si="0"/>
        <v>693697</v>
      </c>
    </row>
    <row r="8" spans="1:9">
      <c r="A8">
        <v>6</v>
      </c>
      <c r="B8" t="s">
        <v>21</v>
      </c>
      <c r="C8" s="1">
        <v>77579</v>
      </c>
      <c r="D8" s="1">
        <v>72778</v>
      </c>
      <c r="E8" s="1">
        <v>150357</v>
      </c>
      <c r="F8" s="1">
        <v>186467</v>
      </c>
      <c r="G8" s="1">
        <v>194319</v>
      </c>
      <c r="H8" s="1">
        <v>380785</v>
      </c>
      <c r="I8" s="1">
        <f t="shared" si="0"/>
        <v>531142</v>
      </c>
    </row>
    <row r="9" spans="1:9">
      <c r="A9">
        <v>7</v>
      </c>
      <c r="B9" s="3" t="s">
        <v>26</v>
      </c>
      <c r="C9" s="4">
        <v>53285</v>
      </c>
      <c r="D9" s="4">
        <v>54239</v>
      </c>
      <c r="E9" s="4">
        <v>107525</v>
      </c>
      <c r="F9" s="4">
        <v>101754</v>
      </c>
      <c r="G9" s="4">
        <v>116524</v>
      </c>
      <c r="H9" s="4">
        <v>218277</v>
      </c>
      <c r="I9" s="4">
        <f t="shared" si="0"/>
        <v>325802</v>
      </c>
    </row>
    <row r="10" spans="1:9">
      <c r="A10">
        <v>8</v>
      </c>
      <c r="B10" s="3" t="s">
        <v>7</v>
      </c>
      <c r="C10" s="4">
        <v>74066</v>
      </c>
      <c r="D10" s="4">
        <v>33415</v>
      </c>
      <c r="E10" s="4">
        <v>107481</v>
      </c>
      <c r="F10" s="4">
        <v>77337</v>
      </c>
      <c r="G10" s="4">
        <v>34415</v>
      </c>
      <c r="H10" s="4">
        <v>111752</v>
      </c>
      <c r="I10" s="4">
        <f t="shared" si="0"/>
        <v>219233</v>
      </c>
    </row>
    <row r="11" spans="1:9">
      <c r="A11">
        <v>9</v>
      </c>
      <c r="B11" s="3" t="s">
        <v>29</v>
      </c>
      <c r="C11" s="4">
        <v>39203</v>
      </c>
      <c r="D11" s="4">
        <v>39887</v>
      </c>
      <c r="E11" s="4">
        <v>79091</v>
      </c>
      <c r="F11" s="4">
        <v>45266</v>
      </c>
      <c r="G11" s="4">
        <v>52264</v>
      </c>
      <c r="H11" s="4">
        <v>97529</v>
      </c>
      <c r="I11" s="4">
        <f t="shared" si="0"/>
        <v>176620</v>
      </c>
    </row>
    <row r="12" spans="1:9">
      <c r="A12">
        <v>10</v>
      </c>
      <c r="B12" t="s">
        <v>13</v>
      </c>
      <c r="C12" s="1">
        <v>29629</v>
      </c>
      <c r="D12" s="1">
        <v>30147</v>
      </c>
      <c r="E12" s="1">
        <v>59776</v>
      </c>
      <c r="F12" s="1">
        <v>50382</v>
      </c>
      <c r="G12" s="1">
        <v>57089</v>
      </c>
      <c r="H12" s="1">
        <v>107471</v>
      </c>
      <c r="I12" s="1">
        <f t="shared" si="0"/>
        <v>167247</v>
      </c>
    </row>
    <row r="13" spans="1:9">
      <c r="A13">
        <v>11</v>
      </c>
      <c r="B13" t="s">
        <v>5</v>
      </c>
      <c r="C13" s="1">
        <v>21602</v>
      </c>
      <c r="D13" s="1">
        <v>18613</v>
      </c>
      <c r="E13" s="1">
        <v>40215</v>
      </c>
      <c r="F13" s="1">
        <v>46470</v>
      </c>
      <c r="G13" s="1">
        <v>43572</v>
      </c>
      <c r="H13" s="1">
        <v>90042</v>
      </c>
      <c r="I13" s="1">
        <f t="shared" si="0"/>
        <v>130257</v>
      </c>
    </row>
    <row r="14" spans="1:9">
      <c r="A14">
        <v>12</v>
      </c>
      <c r="B14" t="s">
        <v>22</v>
      </c>
      <c r="C14" s="1">
        <v>19766</v>
      </c>
      <c r="D14" s="1">
        <v>21373</v>
      </c>
      <c r="E14" s="1">
        <v>41139</v>
      </c>
      <c r="F14" s="1">
        <v>28749</v>
      </c>
      <c r="G14" s="1">
        <v>33414</v>
      </c>
      <c r="H14" s="1">
        <v>62162</v>
      </c>
      <c r="I14" s="1">
        <f t="shared" si="0"/>
        <v>103301</v>
      </c>
    </row>
    <row r="15" spans="1:9">
      <c r="A15">
        <v>13</v>
      </c>
      <c r="B15" t="s">
        <v>48</v>
      </c>
      <c r="C15" s="1">
        <v>15017</v>
      </c>
      <c r="D15" s="1">
        <v>13589</v>
      </c>
      <c r="E15" s="1">
        <v>28606</v>
      </c>
      <c r="F15" s="1">
        <v>35482</v>
      </c>
      <c r="G15" s="1">
        <v>37431</v>
      </c>
      <c r="H15" s="1">
        <v>72913</v>
      </c>
      <c r="I15" s="1">
        <f t="shared" si="0"/>
        <v>101519</v>
      </c>
    </row>
    <row r="16" spans="1:9">
      <c r="A16">
        <v>14</v>
      </c>
      <c r="B16" s="3" t="s">
        <v>44</v>
      </c>
      <c r="C16" s="4">
        <v>25497</v>
      </c>
      <c r="D16" s="4">
        <v>16402</v>
      </c>
      <c r="E16" s="4">
        <v>41899</v>
      </c>
      <c r="F16" s="4">
        <v>28925</v>
      </c>
      <c r="G16" s="4">
        <v>20748</v>
      </c>
      <c r="H16" s="4">
        <v>49673</v>
      </c>
      <c r="I16" s="4">
        <f t="shared" si="0"/>
        <v>91572</v>
      </c>
    </row>
    <row r="17" spans="1:9">
      <c r="A17">
        <v>15</v>
      </c>
      <c r="B17" t="s">
        <v>3</v>
      </c>
      <c r="C17" s="1">
        <v>15989</v>
      </c>
      <c r="D17" s="1">
        <v>16500</v>
      </c>
      <c r="E17" s="1">
        <v>32489</v>
      </c>
      <c r="F17" s="1">
        <v>26532</v>
      </c>
      <c r="G17" s="1">
        <v>29551</v>
      </c>
      <c r="H17" s="1">
        <v>56083</v>
      </c>
      <c r="I17" s="1">
        <f t="shared" si="0"/>
        <v>88572</v>
      </c>
    </row>
    <row r="18" spans="1:9">
      <c r="A18">
        <v>16</v>
      </c>
      <c r="B18" s="3" t="s">
        <v>18</v>
      </c>
      <c r="C18" s="4">
        <v>15789</v>
      </c>
      <c r="D18" s="4">
        <v>11232</v>
      </c>
      <c r="E18" s="4">
        <v>27021</v>
      </c>
      <c r="F18" s="4">
        <v>28876</v>
      </c>
      <c r="G18" s="4">
        <v>27372</v>
      </c>
      <c r="H18" s="4">
        <v>56248</v>
      </c>
      <c r="I18" s="4">
        <f t="shared" si="0"/>
        <v>83269</v>
      </c>
    </row>
    <row r="19" spans="1:9">
      <c r="A19">
        <v>17</v>
      </c>
      <c r="B19" t="s">
        <v>4</v>
      </c>
      <c r="C19" s="1">
        <v>12911</v>
      </c>
      <c r="D19" s="1">
        <v>12255</v>
      </c>
      <c r="E19" s="1">
        <v>25165</v>
      </c>
      <c r="F19" s="1">
        <v>24954</v>
      </c>
      <c r="G19" s="1">
        <v>24737</v>
      </c>
      <c r="H19" s="1">
        <v>49691</v>
      </c>
      <c r="I19" s="1">
        <f t="shared" si="0"/>
        <v>74856</v>
      </c>
    </row>
    <row r="20" spans="1:9">
      <c r="A20">
        <v>18</v>
      </c>
      <c r="B20" t="s">
        <v>41</v>
      </c>
      <c r="C20" s="1">
        <v>15669</v>
      </c>
      <c r="D20" s="1">
        <v>15168</v>
      </c>
      <c r="E20" s="1">
        <v>30837</v>
      </c>
      <c r="F20" s="1">
        <v>18978</v>
      </c>
      <c r="G20" s="1">
        <v>22771</v>
      </c>
      <c r="H20" s="1">
        <v>41749</v>
      </c>
      <c r="I20" s="1">
        <f t="shared" si="0"/>
        <v>72586</v>
      </c>
    </row>
    <row r="21" spans="1:9">
      <c r="A21">
        <v>19</v>
      </c>
      <c r="B21" t="s">
        <v>30</v>
      </c>
      <c r="C21" s="1">
        <v>10738</v>
      </c>
      <c r="D21" s="1">
        <v>12272</v>
      </c>
      <c r="E21" s="1">
        <v>23010</v>
      </c>
      <c r="F21" s="1">
        <v>19965</v>
      </c>
      <c r="G21" s="1">
        <v>24263</v>
      </c>
      <c r="H21" s="1">
        <v>44228</v>
      </c>
      <c r="I21" s="1">
        <f t="shared" si="0"/>
        <v>67238</v>
      </c>
    </row>
    <row r="22" spans="1:9">
      <c r="A22">
        <v>20</v>
      </c>
      <c r="B22" t="s">
        <v>10</v>
      </c>
      <c r="C22" s="1">
        <v>14925</v>
      </c>
      <c r="D22" s="1">
        <v>9463</v>
      </c>
      <c r="E22" s="1">
        <v>24388</v>
      </c>
      <c r="F22" s="1">
        <v>22792</v>
      </c>
      <c r="G22" s="1">
        <v>14011</v>
      </c>
      <c r="H22" s="1">
        <v>36802</v>
      </c>
      <c r="I22" s="1">
        <f t="shared" si="0"/>
        <v>61190</v>
      </c>
    </row>
    <row r="23" spans="1:9">
      <c r="A23">
        <v>21</v>
      </c>
      <c r="B23" t="s">
        <v>6</v>
      </c>
      <c r="C23" s="1">
        <v>14714</v>
      </c>
      <c r="D23" s="1">
        <v>10937</v>
      </c>
      <c r="E23" s="1">
        <v>25651</v>
      </c>
      <c r="F23" s="1">
        <v>14776</v>
      </c>
      <c r="G23" s="1">
        <v>12111</v>
      </c>
      <c r="H23" s="1">
        <v>26887</v>
      </c>
      <c r="I23" s="1">
        <f t="shared" si="0"/>
        <v>52538</v>
      </c>
    </row>
    <row r="24" spans="1:9">
      <c r="A24">
        <v>22</v>
      </c>
      <c r="B24" t="s">
        <v>35</v>
      </c>
      <c r="C24" s="1">
        <v>10419</v>
      </c>
      <c r="D24" s="1">
        <v>11642</v>
      </c>
      <c r="E24" s="1">
        <v>22061</v>
      </c>
      <c r="F24" s="1">
        <v>13506</v>
      </c>
      <c r="G24" s="1">
        <v>12965</v>
      </c>
      <c r="H24" s="1">
        <v>26471</v>
      </c>
      <c r="I24" s="1">
        <f t="shared" si="0"/>
        <v>48532</v>
      </c>
    </row>
    <row r="25" spans="1:9">
      <c r="A25">
        <v>23</v>
      </c>
      <c r="B25" t="s">
        <v>45</v>
      </c>
      <c r="C25" s="1">
        <v>12536</v>
      </c>
      <c r="D25" s="1">
        <v>9690</v>
      </c>
      <c r="E25" s="1">
        <v>22226</v>
      </c>
      <c r="F25" s="1">
        <v>13713</v>
      </c>
      <c r="G25" s="1">
        <v>11759</v>
      </c>
      <c r="H25" s="1">
        <v>25472</v>
      </c>
      <c r="I25" s="1">
        <f t="shared" si="0"/>
        <v>47698</v>
      </c>
    </row>
    <row r="26" spans="1:9">
      <c r="A26">
        <v>24</v>
      </c>
      <c r="B26" s="3" t="s">
        <v>20</v>
      </c>
      <c r="C26" s="4">
        <v>11813</v>
      </c>
      <c r="D26" s="4">
        <v>8334</v>
      </c>
      <c r="E26" s="4">
        <v>20148</v>
      </c>
      <c r="F26" s="4">
        <v>13653</v>
      </c>
      <c r="G26" s="4">
        <v>11120</v>
      </c>
      <c r="H26" s="4">
        <v>24772</v>
      </c>
      <c r="I26" s="4">
        <f t="shared" si="0"/>
        <v>44920</v>
      </c>
    </row>
    <row r="27" spans="1:9">
      <c r="A27">
        <v>25</v>
      </c>
      <c r="B27" s="3" t="s">
        <v>46</v>
      </c>
      <c r="C27" s="4">
        <v>6840</v>
      </c>
      <c r="D27" s="4">
        <v>6962</v>
      </c>
      <c r="E27" s="4">
        <v>13801</v>
      </c>
      <c r="F27" s="4">
        <v>11260</v>
      </c>
      <c r="G27" s="4">
        <v>13039</v>
      </c>
      <c r="H27" s="4">
        <v>24300</v>
      </c>
      <c r="I27" s="4">
        <f t="shared" si="0"/>
        <v>38101</v>
      </c>
    </row>
    <row r="28" spans="1:9">
      <c r="A28">
        <v>26</v>
      </c>
      <c r="B28" t="s">
        <v>19</v>
      </c>
      <c r="C28" s="1">
        <v>10511</v>
      </c>
      <c r="D28" s="1">
        <v>6736</v>
      </c>
      <c r="E28" s="1">
        <v>17247</v>
      </c>
      <c r="F28" s="1">
        <v>12034</v>
      </c>
      <c r="G28" s="1">
        <v>8351</v>
      </c>
      <c r="H28" s="1">
        <v>20385</v>
      </c>
      <c r="I28" s="1">
        <f t="shared" si="0"/>
        <v>37632</v>
      </c>
    </row>
    <row r="29" spans="1:9">
      <c r="A29">
        <v>27</v>
      </c>
      <c r="B29" t="s">
        <v>12</v>
      </c>
      <c r="C29" s="1">
        <v>14802</v>
      </c>
      <c r="D29" s="1">
        <v>6542</v>
      </c>
      <c r="E29" s="1">
        <v>21344</v>
      </c>
      <c r="F29" s="1">
        <v>8435</v>
      </c>
      <c r="G29" s="1">
        <v>6806</v>
      </c>
      <c r="H29" s="1">
        <v>15241</v>
      </c>
      <c r="I29" s="1">
        <f t="shared" si="0"/>
        <v>36585</v>
      </c>
    </row>
    <row r="30" spans="1:9">
      <c r="A30">
        <v>28</v>
      </c>
      <c r="B30" s="3" t="s">
        <v>11</v>
      </c>
      <c r="C30" s="4">
        <v>4612</v>
      </c>
      <c r="D30" s="4">
        <v>5271</v>
      </c>
      <c r="E30" s="4">
        <v>9882</v>
      </c>
      <c r="F30" s="4">
        <v>9525</v>
      </c>
      <c r="G30" s="4">
        <v>11636</v>
      </c>
      <c r="H30" s="4">
        <v>21161</v>
      </c>
      <c r="I30" s="4">
        <f t="shared" si="0"/>
        <v>31043</v>
      </c>
    </row>
    <row r="31" spans="1:9">
      <c r="A31">
        <v>29</v>
      </c>
      <c r="B31" s="3" t="s">
        <v>25</v>
      </c>
      <c r="C31" s="4">
        <v>5226</v>
      </c>
      <c r="D31" s="4">
        <v>5428</v>
      </c>
      <c r="E31" s="4">
        <v>10653</v>
      </c>
      <c r="F31" s="4">
        <v>8212</v>
      </c>
      <c r="G31" s="4">
        <v>9323</v>
      </c>
      <c r="H31" s="4">
        <v>17534</v>
      </c>
      <c r="I31" s="4">
        <f t="shared" si="0"/>
        <v>28187</v>
      </c>
    </row>
    <row r="32" spans="1:9">
      <c r="A32">
        <v>30</v>
      </c>
      <c r="B32" s="3" t="s">
        <v>32</v>
      </c>
      <c r="C32" s="4">
        <v>7920</v>
      </c>
      <c r="D32" s="4">
        <v>4997</v>
      </c>
      <c r="E32" s="4">
        <v>12917</v>
      </c>
      <c r="F32" s="4">
        <v>8595</v>
      </c>
      <c r="G32" s="4">
        <v>6177</v>
      </c>
      <c r="H32" s="4">
        <v>14772</v>
      </c>
      <c r="I32" s="4">
        <f t="shared" si="0"/>
        <v>27689</v>
      </c>
    </row>
    <row r="33" spans="1:9">
      <c r="A33">
        <v>31</v>
      </c>
      <c r="B33" t="s">
        <v>47</v>
      </c>
      <c r="C33" s="1">
        <v>4661</v>
      </c>
      <c r="D33" s="1">
        <v>3825</v>
      </c>
      <c r="E33" s="1">
        <v>8486</v>
      </c>
      <c r="F33" s="1">
        <v>6384</v>
      </c>
      <c r="G33" s="1">
        <v>7825</v>
      </c>
      <c r="H33" s="1">
        <v>14208</v>
      </c>
      <c r="I33" s="1">
        <f t="shared" si="0"/>
        <v>22694</v>
      </c>
    </row>
    <row r="34" spans="1:9">
      <c r="A34">
        <v>32</v>
      </c>
      <c r="B34" s="3" t="s">
        <v>37</v>
      </c>
      <c r="C34" s="4">
        <v>3833</v>
      </c>
      <c r="D34" s="4">
        <v>3251</v>
      </c>
      <c r="E34" s="4">
        <v>7084</v>
      </c>
      <c r="F34" s="4">
        <v>6327</v>
      </c>
      <c r="G34" s="4">
        <v>6035</v>
      </c>
      <c r="H34" s="4">
        <v>12362</v>
      </c>
      <c r="I34" s="4">
        <f t="shared" si="0"/>
        <v>19446</v>
      </c>
    </row>
    <row r="35" spans="1:9">
      <c r="A35">
        <v>33</v>
      </c>
      <c r="B35" s="3" t="s">
        <v>28</v>
      </c>
      <c r="C35" s="4">
        <v>3291</v>
      </c>
      <c r="D35" s="4">
        <v>3333</v>
      </c>
      <c r="E35" s="4">
        <v>6624</v>
      </c>
      <c r="F35" s="4">
        <v>4982</v>
      </c>
      <c r="G35" s="4">
        <v>5646</v>
      </c>
      <c r="H35" s="4">
        <v>10628</v>
      </c>
      <c r="I35" s="4">
        <f t="shared" ref="I35:I52" si="1">H35+E35</f>
        <v>17252</v>
      </c>
    </row>
    <row r="36" spans="1:9">
      <c r="A36">
        <v>34</v>
      </c>
      <c r="B36" t="s">
        <v>43</v>
      </c>
      <c r="C36" s="1">
        <v>3022</v>
      </c>
      <c r="D36" s="1">
        <v>2776</v>
      </c>
      <c r="E36" s="1">
        <v>5798</v>
      </c>
      <c r="F36" s="1">
        <v>5563</v>
      </c>
      <c r="G36" s="1">
        <v>5084</v>
      </c>
      <c r="H36" s="1">
        <v>10647</v>
      </c>
      <c r="I36" s="1">
        <f t="shared" si="1"/>
        <v>16445</v>
      </c>
    </row>
    <row r="37" spans="1:9">
      <c r="A37">
        <v>35</v>
      </c>
      <c r="B37" t="s">
        <v>38</v>
      </c>
      <c r="C37" s="1">
        <v>3867</v>
      </c>
      <c r="D37" s="1">
        <v>3300</v>
      </c>
      <c r="E37" s="1">
        <v>7167</v>
      </c>
      <c r="F37" s="1">
        <v>4700</v>
      </c>
      <c r="G37" s="1">
        <v>4549</v>
      </c>
      <c r="H37" s="1">
        <v>9249</v>
      </c>
      <c r="I37" s="1">
        <f t="shared" si="1"/>
        <v>16416</v>
      </c>
    </row>
    <row r="38" spans="1:9">
      <c r="A38">
        <v>36</v>
      </c>
      <c r="B38" s="3" t="s">
        <v>49</v>
      </c>
      <c r="C38" s="4">
        <v>3441</v>
      </c>
      <c r="D38" s="4">
        <v>2692</v>
      </c>
      <c r="E38" s="4">
        <v>6133</v>
      </c>
      <c r="F38" s="4">
        <v>5265</v>
      </c>
      <c r="G38" s="4">
        <v>4832</v>
      </c>
      <c r="H38" s="4">
        <v>10097</v>
      </c>
      <c r="I38" s="4">
        <f t="shared" si="1"/>
        <v>16230</v>
      </c>
    </row>
    <row r="39" spans="1:9">
      <c r="A39">
        <v>37</v>
      </c>
      <c r="B39" t="s">
        <v>31</v>
      </c>
      <c r="C39" s="1">
        <v>3645</v>
      </c>
      <c r="D39" s="1">
        <v>1546</v>
      </c>
      <c r="E39" s="1">
        <v>5190</v>
      </c>
      <c r="F39" s="1">
        <v>5295</v>
      </c>
      <c r="G39" s="1">
        <v>2592</v>
      </c>
      <c r="H39" s="1">
        <v>7887</v>
      </c>
      <c r="I39" s="1">
        <f t="shared" si="1"/>
        <v>13077</v>
      </c>
    </row>
    <row r="40" spans="1:9">
      <c r="A40">
        <v>38</v>
      </c>
      <c r="B40" t="s">
        <v>36</v>
      </c>
      <c r="C40" s="1">
        <v>2230</v>
      </c>
      <c r="D40" s="1">
        <v>2292</v>
      </c>
      <c r="E40" s="1">
        <v>4522</v>
      </c>
      <c r="F40" s="1">
        <v>2844</v>
      </c>
      <c r="G40" s="1">
        <v>3219</v>
      </c>
      <c r="H40" s="1">
        <v>6062</v>
      </c>
      <c r="I40" s="1">
        <f t="shared" si="1"/>
        <v>10584</v>
      </c>
    </row>
    <row r="41" spans="1:9">
      <c r="A41">
        <v>39</v>
      </c>
      <c r="B41" s="3" t="s">
        <v>34</v>
      </c>
      <c r="C41" s="4">
        <v>2696</v>
      </c>
      <c r="D41" s="4">
        <v>1869</v>
      </c>
      <c r="E41" s="4">
        <v>4565</v>
      </c>
      <c r="F41" s="4">
        <v>3001</v>
      </c>
      <c r="G41" s="4">
        <v>2092</v>
      </c>
      <c r="H41" s="4">
        <v>5093</v>
      </c>
      <c r="I41" s="4">
        <f t="shared" si="1"/>
        <v>9658</v>
      </c>
    </row>
    <row r="42" spans="1:9">
      <c r="A42">
        <v>40</v>
      </c>
      <c r="B42" s="3" t="s">
        <v>39</v>
      </c>
      <c r="C42" s="4">
        <v>2274</v>
      </c>
      <c r="D42" s="4">
        <v>1784</v>
      </c>
      <c r="E42" s="4">
        <v>4057</v>
      </c>
      <c r="F42" s="4">
        <v>3033</v>
      </c>
      <c r="G42" s="4">
        <v>2321</v>
      </c>
      <c r="H42" s="4">
        <v>5354</v>
      </c>
      <c r="I42" s="4">
        <f t="shared" si="1"/>
        <v>9411</v>
      </c>
    </row>
    <row r="43" spans="1:9">
      <c r="A43">
        <v>41</v>
      </c>
      <c r="B43" s="3" t="s">
        <v>42</v>
      </c>
      <c r="C43" s="4">
        <v>1762</v>
      </c>
      <c r="D43" s="4">
        <v>1390</v>
      </c>
      <c r="E43" s="4">
        <v>3152</v>
      </c>
      <c r="F43" s="4">
        <v>2449</v>
      </c>
      <c r="G43" s="4">
        <v>2344</v>
      </c>
      <c r="H43" s="4">
        <v>4793</v>
      </c>
      <c r="I43" s="4">
        <f t="shared" si="1"/>
        <v>7945</v>
      </c>
    </row>
    <row r="44" spans="1:9">
      <c r="A44">
        <v>42</v>
      </c>
      <c r="B44" t="s">
        <v>14</v>
      </c>
      <c r="C44" s="1">
        <v>1034</v>
      </c>
      <c r="D44" s="1">
        <v>793</v>
      </c>
      <c r="E44" s="1">
        <v>1827</v>
      </c>
      <c r="F44" s="1">
        <v>1882</v>
      </c>
      <c r="G44" s="1">
        <v>1617</v>
      </c>
      <c r="H44" s="1">
        <v>3499</v>
      </c>
      <c r="I44" s="1">
        <f t="shared" si="1"/>
        <v>5326</v>
      </c>
    </row>
    <row r="45" spans="1:9">
      <c r="A45">
        <v>43</v>
      </c>
      <c r="B45" s="3" t="s">
        <v>8</v>
      </c>
      <c r="C45" s="4">
        <v>1197</v>
      </c>
      <c r="D45" s="4">
        <v>1028</v>
      </c>
      <c r="E45" s="4">
        <v>2225</v>
      </c>
      <c r="F45" s="4">
        <v>1056</v>
      </c>
      <c r="G45" s="4">
        <v>1054</v>
      </c>
      <c r="H45" s="4">
        <v>2110</v>
      </c>
      <c r="I45" s="4">
        <f t="shared" si="1"/>
        <v>4335</v>
      </c>
    </row>
    <row r="46" spans="1:9">
      <c r="A46">
        <v>44</v>
      </c>
      <c r="B46" s="3" t="s">
        <v>40</v>
      </c>
      <c r="C46" s="4">
        <v>892</v>
      </c>
      <c r="D46" s="4">
        <v>927</v>
      </c>
      <c r="E46" s="4">
        <v>1819</v>
      </c>
      <c r="F46" s="4">
        <v>1084</v>
      </c>
      <c r="G46" s="4">
        <v>1297</v>
      </c>
      <c r="H46" s="4">
        <v>2381</v>
      </c>
      <c r="I46" s="4">
        <f t="shared" si="1"/>
        <v>4200</v>
      </c>
    </row>
    <row r="47" spans="1:9">
      <c r="A47">
        <v>45</v>
      </c>
      <c r="B47" s="3" t="s">
        <v>0</v>
      </c>
      <c r="C47" s="4">
        <v>953</v>
      </c>
      <c r="D47" s="4">
        <v>751</v>
      </c>
      <c r="E47" s="4">
        <v>1703</v>
      </c>
      <c r="F47" s="4">
        <v>1194</v>
      </c>
      <c r="G47" s="4">
        <v>1076</v>
      </c>
      <c r="H47" s="4">
        <v>2269</v>
      </c>
      <c r="I47" s="4">
        <f t="shared" si="1"/>
        <v>3972</v>
      </c>
    </row>
    <row r="48" spans="1:9">
      <c r="A48">
        <v>46</v>
      </c>
      <c r="B48" s="3" t="s">
        <v>24</v>
      </c>
      <c r="C48" s="4">
        <v>427</v>
      </c>
      <c r="D48" s="4">
        <v>317</v>
      </c>
      <c r="E48" s="4">
        <v>745</v>
      </c>
      <c r="F48" s="4">
        <v>342</v>
      </c>
      <c r="G48" s="4">
        <v>258</v>
      </c>
      <c r="H48" s="4">
        <v>600</v>
      </c>
      <c r="I48" s="4">
        <f t="shared" si="1"/>
        <v>1345</v>
      </c>
    </row>
    <row r="49" spans="1:9">
      <c r="A49">
        <v>47</v>
      </c>
      <c r="B49" t="s">
        <v>9</v>
      </c>
      <c r="C49" s="1">
        <v>154</v>
      </c>
      <c r="D49" s="1">
        <v>119</v>
      </c>
      <c r="E49" s="1">
        <v>274</v>
      </c>
      <c r="F49" s="1">
        <v>208</v>
      </c>
      <c r="G49" s="1">
        <v>171</v>
      </c>
      <c r="H49" s="1">
        <v>379</v>
      </c>
      <c r="I49" s="1">
        <f t="shared" si="1"/>
        <v>653</v>
      </c>
    </row>
    <row r="50" spans="1:9">
      <c r="A50">
        <v>48</v>
      </c>
      <c r="B50" s="3" t="s">
        <v>27</v>
      </c>
      <c r="C50" s="4">
        <v>120</v>
      </c>
      <c r="D50" s="4">
        <v>85</v>
      </c>
      <c r="E50" s="4">
        <v>206</v>
      </c>
      <c r="F50" s="4">
        <v>143</v>
      </c>
      <c r="G50" s="4">
        <v>87</v>
      </c>
      <c r="H50" s="4">
        <v>229</v>
      </c>
      <c r="I50" s="4">
        <f t="shared" si="1"/>
        <v>435</v>
      </c>
    </row>
    <row r="51" spans="1:9">
      <c r="A51">
        <v>49</v>
      </c>
      <c r="B51" t="s">
        <v>2</v>
      </c>
      <c r="C51" s="1">
        <v>42</v>
      </c>
      <c r="D51" s="1">
        <v>44</v>
      </c>
      <c r="E51" s="1">
        <v>87</v>
      </c>
      <c r="F51" s="1">
        <v>156</v>
      </c>
      <c r="G51" s="1">
        <v>185</v>
      </c>
      <c r="H51" s="1">
        <v>340</v>
      </c>
      <c r="I51" s="1">
        <f t="shared" si="1"/>
        <v>427</v>
      </c>
    </row>
    <row r="52" spans="1:9">
      <c r="A52">
        <v>50</v>
      </c>
      <c r="B52" t="s">
        <v>15</v>
      </c>
      <c r="C52" s="1">
        <v>3</v>
      </c>
      <c r="D52" s="1">
        <v>1</v>
      </c>
      <c r="E52" s="1">
        <v>4</v>
      </c>
      <c r="F52" s="1">
        <v>2</v>
      </c>
      <c r="G52" s="1">
        <v>2</v>
      </c>
      <c r="H52" s="1">
        <v>4</v>
      </c>
      <c r="I52" s="1">
        <f t="shared" si="1"/>
        <v>8</v>
      </c>
    </row>
  </sheetData>
  <sortState xmlns:xlrd2="http://schemas.microsoft.com/office/spreadsheetml/2017/richdata2" ref="A3:I52">
    <sortCondition descending="1" ref="I3:I52"/>
  </sortState>
  <mergeCells count="2">
    <mergeCell ref="C1:E1"/>
    <mergeCell ref="F1:H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5829-E73F-4375-99D3-1BAD7560C00B}">
  <dimension ref="A1:X52"/>
  <sheetViews>
    <sheetView tabSelected="1" topLeftCell="A34" workbookViewId="0">
      <selection activeCell="D45" sqref="D45"/>
    </sheetView>
  </sheetViews>
  <sheetFormatPr defaultColWidth="23.109375" defaultRowHeight="14.4"/>
  <cols>
    <col min="1" max="1" width="5.88671875" bestFit="1" customWidth="1"/>
    <col min="2" max="3" width="23.33203125" bestFit="1" customWidth="1"/>
    <col min="4" max="4" width="9.44140625" bestFit="1" customWidth="1"/>
    <col min="5" max="6" width="9" style="17" bestFit="1" customWidth="1"/>
    <col min="7" max="9" width="8" bestFit="1" customWidth="1"/>
    <col min="10" max="10" width="10" bestFit="1" customWidth="1"/>
    <col min="11" max="12" width="9" bestFit="1" customWidth="1"/>
    <col min="13" max="14" width="9" style="17" bestFit="1" customWidth="1"/>
    <col min="15" max="15" width="9" bestFit="1" customWidth="1"/>
    <col min="16" max="18" width="8" bestFit="1" customWidth="1"/>
    <col min="19" max="19" width="10.5546875" bestFit="1" customWidth="1"/>
    <col min="20" max="20" width="17.6640625" bestFit="1" customWidth="1"/>
    <col min="21" max="21" width="14" customWidth="1"/>
    <col min="22" max="22" width="13.88671875" customWidth="1"/>
    <col min="23" max="23" width="12.109375" customWidth="1"/>
    <col min="24" max="24" width="13.5546875" customWidth="1"/>
  </cols>
  <sheetData>
    <row r="1" spans="1:24">
      <c r="A1" s="7"/>
      <c r="B1" s="7"/>
      <c r="C1" s="7"/>
      <c r="D1" s="26" t="s">
        <v>99</v>
      </c>
      <c r="E1" s="26"/>
      <c r="F1" s="26"/>
      <c r="G1" s="26"/>
      <c r="H1" s="26"/>
      <c r="I1" s="26"/>
      <c r="J1" s="26"/>
      <c r="K1" s="26"/>
      <c r="L1" s="26" t="s">
        <v>100</v>
      </c>
      <c r="M1" s="26"/>
      <c r="N1" s="26"/>
      <c r="O1" s="26"/>
      <c r="P1" s="26"/>
      <c r="Q1" s="26"/>
      <c r="R1" s="26"/>
      <c r="S1" s="26"/>
      <c r="T1" s="7" t="s">
        <v>101</v>
      </c>
      <c r="U1" s="24" t="s">
        <v>122</v>
      </c>
      <c r="V1" s="24" t="s">
        <v>123</v>
      </c>
      <c r="W1" s="28" t="s">
        <v>124</v>
      </c>
      <c r="X1" s="28" t="s">
        <v>125</v>
      </c>
    </row>
    <row r="2" spans="1:24" ht="16.5" customHeight="1">
      <c r="A2" s="7" t="s">
        <v>67</v>
      </c>
      <c r="B2" s="7" t="s">
        <v>50</v>
      </c>
      <c r="C2" s="30" t="s">
        <v>127</v>
      </c>
      <c r="D2" s="7" t="s">
        <v>91</v>
      </c>
      <c r="E2" s="16" t="s">
        <v>92</v>
      </c>
      <c r="F2" s="16" t="s">
        <v>93</v>
      </c>
      <c r="G2" s="7" t="s">
        <v>94</v>
      </c>
      <c r="H2" s="7" t="s">
        <v>95</v>
      </c>
      <c r="I2" s="7" t="s">
        <v>96</v>
      </c>
      <c r="J2" s="7" t="s">
        <v>103</v>
      </c>
      <c r="K2" s="7" t="s">
        <v>63</v>
      </c>
      <c r="L2" s="7" t="s">
        <v>102</v>
      </c>
      <c r="M2" s="16" t="s">
        <v>92</v>
      </c>
      <c r="N2" s="16" t="s">
        <v>93</v>
      </c>
      <c r="O2" s="7" t="s">
        <v>94</v>
      </c>
      <c r="P2" s="7" t="s">
        <v>95</v>
      </c>
      <c r="Q2" s="7" t="s">
        <v>97</v>
      </c>
      <c r="R2" s="7" t="s">
        <v>103</v>
      </c>
      <c r="S2" s="7" t="s">
        <v>63</v>
      </c>
      <c r="T2" s="7" t="s">
        <v>90</v>
      </c>
      <c r="U2" s="27" t="s">
        <v>126</v>
      </c>
      <c r="V2" s="27"/>
      <c r="W2" s="29"/>
      <c r="X2" s="29"/>
    </row>
    <row r="3" spans="1:24" ht="17.399999999999999">
      <c r="A3" s="5">
        <v>1</v>
      </c>
      <c r="B3" t="s">
        <v>1</v>
      </c>
      <c r="C3" s="31" t="s">
        <v>128</v>
      </c>
      <c r="D3" s="1">
        <v>80527</v>
      </c>
      <c r="E3" s="15">
        <v>228909</v>
      </c>
      <c r="F3" s="15">
        <v>131574</v>
      </c>
      <c r="G3" s="1">
        <v>84593</v>
      </c>
      <c r="H3" s="1">
        <v>53007</v>
      </c>
      <c r="I3" s="1">
        <v>25519</v>
      </c>
      <c r="J3" s="1">
        <v>11323</v>
      </c>
      <c r="K3" s="1">
        <v>615452</v>
      </c>
      <c r="L3" s="1">
        <v>166817</v>
      </c>
      <c r="M3" s="15">
        <v>470572</v>
      </c>
      <c r="N3" s="15">
        <v>215070</v>
      </c>
      <c r="O3" s="1">
        <v>134571</v>
      </c>
      <c r="P3" s="1">
        <v>83689</v>
      </c>
      <c r="Q3" s="1">
        <v>37130</v>
      </c>
      <c r="R3" s="1">
        <v>18218</v>
      </c>
      <c r="S3" s="1">
        <v>1126067</v>
      </c>
      <c r="T3" s="1">
        <f t="shared" ref="T3:T34" si="0">S3+K3</f>
        <v>1741519</v>
      </c>
      <c r="U3" s="21">
        <f>E3+F3</f>
        <v>360483</v>
      </c>
      <c r="V3" s="21">
        <f>M3+N3</f>
        <v>685642</v>
      </c>
      <c r="W3" s="9">
        <f>(V3-U3)/U3</f>
        <v>0.90200924870243537</v>
      </c>
      <c r="X3" s="9">
        <f>(U3+V3)/T3</f>
        <v>0.6006968629110564</v>
      </c>
    </row>
    <row r="4" spans="1:24" ht="17.399999999999999">
      <c r="A4" s="5">
        <v>2</v>
      </c>
      <c r="B4" s="3" t="s">
        <v>33</v>
      </c>
      <c r="C4" s="32" t="s">
        <v>129</v>
      </c>
      <c r="D4" s="4">
        <v>95447</v>
      </c>
      <c r="E4" s="15">
        <v>110337</v>
      </c>
      <c r="F4" s="15">
        <v>115177</v>
      </c>
      <c r="G4" s="4">
        <v>97833</v>
      </c>
      <c r="H4" s="4">
        <v>47193</v>
      </c>
      <c r="I4" s="4">
        <v>21473</v>
      </c>
      <c r="J4" s="4">
        <v>9056</v>
      </c>
      <c r="K4" s="4">
        <v>496516</v>
      </c>
      <c r="L4" s="4">
        <v>218632</v>
      </c>
      <c r="M4" s="15">
        <v>212702</v>
      </c>
      <c r="N4" s="15">
        <v>206653</v>
      </c>
      <c r="O4" s="4">
        <v>193447</v>
      </c>
      <c r="P4" s="4">
        <v>91838</v>
      </c>
      <c r="Q4" s="4">
        <v>40752</v>
      </c>
      <c r="R4" s="4">
        <v>18595</v>
      </c>
      <c r="S4" s="4">
        <v>982619</v>
      </c>
      <c r="T4" s="4">
        <f t="shared" si="0"/>
        <v>1479135</v>
      </c>
      <c r="U4" s="23">
        <f t="shared" ref="U4:U52" si="1">E4+F4</f>
        <v>225514</v>
      </c>
      <c r="V4" s="23">
        <f t="shared" ref="V4:V52" si="2">M4+N4</f>
        <v>419355</v>
      </c>
      <c r="W4" s="11">
        <f t="shared" ref="W4:W52" si="3">(V4-U4)/U4</f>
        <v>0.85955195686298858</v>
      </c>
      <c r="X4" s="11">
        <f t="shared" ref="X4:X52" si="4">(U4+V4)/T4</f>
        <v>0.43597710824231728</v>
      </c>
    </row>
    <row r="5" spans="1:24" ht="17.399999999999999">
      <c r="A5" s="5">
        <v>3</v>
      </c>
      <c r="B5" t="s">
        <v>17</v>
      </c>
      <c r="C5" s="31" t="s">
        <v>130</v>
      </c>
      <c r="D5" s="1">
        <v>86283</v>
      </c>
      <c r="E5" s="15">
        <v>96267</v>
      </c>
      <c r="F5" s="15">
        <v>102931</v>
      </c>
      <c r="G5" s="1">
        <v>87928</v>
      </c>
      <c r="H5" s="1">
        <v>41923</v>
      </c>
      <c r="I5" s="1">
        <v>18716</v>
      </c>
      <c r="J5" s="1">
        <v>7805</v>
      </c>
      <c r="K5" s="1">
        <v>441853</v>
      </c>
      <c r="L5" s="1">
        <v>182942</v>
      </c>
      <c r="M5" s="15">
        <v>170980</v>
      </c>
      <c r="N5" s="15">
        <v>169679</v>
      </c>
      <c r="O5" s="1">
        <v>160741</v>
      </c>
      <c r="P5" s="1">
        <v>75213</v>
      </c>
      <c r="Q5" s="1">
        <v>33200</v>
      </c>
      <c r="R5" s="1">
        <v>15163</v>
      </c>
      <c r="S5" s="1">
        <v>807918</v>
      </c>
      <c r="T5" s="1">
        <f t="shared" si="0"/>
        <v>1249771</v>
      </c>
      <c r="U5" s="21">
        <f t="shared" si="1"/>
        <v>199198</v>
      </c>
      <c r="V5" s="21">
        <f t="shared" si="2"/>
        <v>340659</v>
      </c>
      <c r="W5" s="9">
        <f t="shared" si="3"/>
        <v>0.71015271237663025</v>
      </c>
      <c r="X5" s="9">
        <f t="shared" si="4"/>
        <v>0.43196473593962414</v>
      </c>
    </row>
    <row r="6" spans="1:24" ht="17.399999999999999">
      <c r="A6" s="5">
        <v>4</v>
      </c>
      <c r="B6" t="s">
        <v>23</v>
      </c>
      <c r="C6" s="31" t="s">
        <v>130</v>
      </c>
      <c r="D6" s="1">
        <v>51383</v>
      </c>
      <c r="E6" s="15">
        <v>76619</v>
      </c>
      <c r="F6" s="15">
        <v>83270</v>
      </c>
      <c r="G6" s="1">
        <v>63666</v>
      </c>
      <c r="H6" s="1">
        <v>36465</v>
      </c>
      <c r="I6" s="1">
        <v>17062</v>
      </c>
      <c r="J6" s="1">
        <v>6685</v>
      </c>
      <c r="K6" s="1">
        <v>335151</v>
      </c>
      <c r="L6" s="1">
        <v>133654</v>
      </c>
      <c r="M6" s="15">
        <v>136815</v>
      </c>
      <c r="N6" s="15">
        <v>148884</v>
      </c>
      <c r="O6" s="1">
        <v>126588</v>
      </c>
      <c r="P6" s="1">
        <v>65704</v>
      </c>
      <c r="Q6" s="1">
        <v>29149</v>
      </c>
      <c r="R6" s="1">
        <v>12019</v>
      </c>
      <c r="S6" s="1">
        <v>652813</v>
      </c>
      <c r="T6" s="1">
        <f t="shared" si="0"/>
        <v>987964</v>
      </c>
      <c r="U6" s="21">
        <f t="shared" si="1"/>
        <v>159889</v>
      </c>
      <c r="V6" s="21">
        <f t="shared" si="2"/>
        <v>285699</v>
      </c>
      <c r="W6" s="9">
        <f t="shared" si="3"/>
        <v>0.78685838300320843</v>
      </c>
      <c r="X6" s="9">
        <f t="shared" si="4"/>
        <v>0.45101643379718287</v>
      </c>
    </row>
    <row r="7" spans="1:24" ht="17.399999999999999">
      <c r="A7" s="5">
        <v>5</v>
      </c>
      <c r="B7" t="s">
        <v>16</v>
      </c>
      <c r="C7" s="31" t="s">
        <v>131</v>
      </c>
      <c r="D7" s="1">
        <v>28252</v>
      </c>
      <c r="E7" s="15">
        <v>89678</v>
      </c>
      <c r="F7" s="15">
        <v>48406</v>
      </c>
      <c r="G7" s="1">
        <v>27066</v>
      </c>
      <c r="H7" s="1">
        <v>16908</v>
      </c>
      <c r="I7" s="1">
        <v>8487</v>
      </c>
      <c r="J7" s="1">
        <v>3279</v>
      </c>
      <c r="K7" s="1">
        <v>222077</v>
      </c>
      <c r="L7" s="1">
        <v>77373</v>
      </c>
      <c r="M7" s="15">
        <v>190106</v>
      </c>
      <c r="N7" s="15">
        <v>95076</v>
      </c>
      <c r="O7" s="1">
        <v>54819</v>
      </c>
      <c r="P7" s="1">
        <v>33393</v>
      </c>
      <c r="Q7" s="1">
        <v>14736</v>
      </c>
      <c r="R7" s="1">
        <v>6118</v>
      </c>
      <c r="S7" s="1">
        <v>471620</v>
      </c>
      <c r="T7" s="1">
        <f t="shared" si="0"/>
        <v>693697</v>
      </c>
      <c r="U7" s="21">
        <f t="shared" si="1"/>
        <v>138084</v>
      </c>
      <c r="V7" s="21">
        <f t="shared" si="2"/>
        <v>285182</v>
      </c>
      <c r="W7" s="9">
        <f t="shared" si="3"/>
        <v>1.0652791054720314</v>
      </c>
      <c r="X7" s="9">
        <f t="shared" si="4"/>
        <v>0.61015976716059028</v>
      </c>
    </row>
    <row r="8" spans="1:24" ht="17.399999999999999">
      <c r="A8" s="5">
        <v>6</v>
      </c>
      <c r="B8" t="s">
        <v>21</v>
      </c>
      <c r="C8" s="31" t="s">
        <v>132</v>
      </c>
      <c r="D8" s="1">
        <v>19810</v>
      </c>
      <c r="E8" s="15">
        <v>36106</v>
      </c>
      <c r="F8" s="15">
        <v>29767</v>
      </c>
      <c r="G8" s="1">
        <v>25922</v>
      </c>
      <c r="H8" s="1">
        <v>20468</v>
      </c>
      <c r="I8" s="1">
        <v>12914</v>
      </c>
      <c r="J8" s="1">
        <v>5369</v>
      </c>
      <c r="K8" s="1">
        <v>150357</v>
      </c>
      <c r="L8" s="1">
        <v>65164</v>
      </c>
      <c r="M8" s="15">
        <v>83509</v>
      </c>
      <c r="N8" s="15">
        <v>70062</v>
      </c>
      <c r="O8" s="1">
        <v>70984</v>
      </c>
      <c r="P8" s="1">
        <v>49526</v>
      </c>
      <c r="Q8" s="1">
        <v>29717</v>
      </c>
      <c r="R8" s="1">
        <v>11824</v>
      </c>
      <c r="S8" s="1">
        <v>380785</v>
      </c>
      <c r="T8" s="1">
        <f t="shared" si="0"/>
        <v>531142</v>
      </c>
      <c r="U8" s="21">
        <f t="shared" si="1"/>
        <v>65873</v>
      </c>
      <c r="V8" s="21">
        <f t="shared" si="2"/>
        <v>153571</v>
      </c>
      <c r="W8" s="9">
        <f t="shared" si="3"/>
        <v>1.3313193569444233</v>
      </c>
      <c r="X8" s="9">
        <f t="shared" si="4"/>
        <v>0.41315505081503628</v>
      </c>
    </row>
    <row r="9" spans="1:24" ht="17.399999999999999">
      <c r="A9" s="5">
        <v>7</v>
      </c>
      <c r="B9" s="3" t="s">
        <v>26</v>
      </c>
      <c r="C9" s="33" t="s">
        <v>133</v>
      </c>
      <c r="D9" s="4">
        <v>18959</v>
      </c>
      <c r="E9" s="15">
        <v>15618</v>
      </c>
      <c r="F9" s="15">
        <v>24924</v>
      </c>
      <c r="G9" s="4">
        <v>23116</v>
      </c>
      <c r="H9" s="4">
        <v>15190</v>
      </c>
      <c r="I9" s="4">
        <v>7427</v>
      </c>
      <c r="J9" s="4">
        <v>2291</v>
      </c>
      <c r="K9" s="4">
        <v>107525</v>
      </c>
      <c r="L9" s="4">
        <v>53485</v>
      </c>
      <c r="M9" s="15">
        <v>29899</v>
      </c>
      <c r="N9" s="15">
        <v>45341</v>
      </c>
      <c r="O9" s="4">
        <v>47353</v>
      </c>
      <c r="P9" s="4">
        <v>25072</v>
      </c>
      <c r="Q9" s="4">
        <v>12538</v>
      </c>
      <c r="R9" s="4">
        <v>4590</v>
      </c>
      <c r="S9" s="4">
        <v>218277</v>
      </c>
      <c r="T9" s="4">
        <f t="shared" si="0"/>
        <v>325802</v>
      </c>
      <c r="U9" s="23">
        <f t="shared" si="1"/>
        <v>40542</v>
      </c>
      <c r="V9" s="23">
        <f t="shared" si="2"/>
        <v>75240</v>
      </c>
      <c r="W9" s="11">
        <f t="shared" si="3"/>
        <v>0.85585318928518572</v>
      </c>
      <c r="X9" s="11">
        <f t="shared" si="4"/>
        <v>0.35537535067310821</v>
      </c>
    </row>
    <row r="10" spans="1:24" ht="17.399999999999999">
      <c r="A10" s="5">
        <v>8</v>
      </c>
      <c r="B10" s="3" t="s">
        <v>7</v>
      </c>
      <c r="C10" s="33" t="s">
        <v>134</v>
      </c>
      <c r="D10" s="4">
        <v>10656</v>
      </c>
      <c r="E10" s="15">
        <v>11356</v>
      </c>
      <c r="F10" s="15">
        <v>23993</v>
      </c>
      <c r="G10" s="4">
        <v>29924</v>
      </c>
      <c r="H10" s="4">
        <v>19842</v>
      </c>
      <c r="I10" s="4">
        <v>9726</v>
      </c>
      <c r="J10" s="4">
        <v>1984</v>
      </c>
      <c r="K10" s="4">
        <v>107481</v>
      </c>
      <c r="L10" s="4">
        <v>11827</v>
      </c>
      <c r="M10" s="15">
        <v>10840</v>
      </c>
      <c r="N10" s="15">
        <v>24401</v>
      </c>
      <c r="O10" s="4">
        <v>29001</v>
      </c>
      <c r="P10" s="4">
        <v>22322</v>
      </c>
      <c r="Q10" s="4">
        <v>10959</v>
      </c>
      <c r="R10" s="4">
        <v>2402</v>
      </c>
      <c r="S10" s="4">
        <v>111752</v>
      </c>
      <c r="T10" s="4">
        <f t="shared" si="0"/>
        <v>219233</v>
      </c>
      <c r="U10" s="23">
        <f t="shared" si="1"/>
        <v>35349</v>
      </c>
      <c r="V10" s="23">
        <f t="shared" si="2"/>
        <v>35241</v>
      </c>
      <c r="W10" s="11">
        <f t="shared" si="3"/>
        <v>-3.0552490876686752E-3</v>
      </c>
      <c r="X10" s="11">
        <f t="shared" si="4"/>
        <v>0.32198619733343065</v>
      </c>
    </row>
    <row r="11" spans="1:24" ht="17.399999999999999">
      <c r="A11" s="5">
        <v>9</v>
      </c>
      <c r="B11" s="3" t="s">
        <v>29</v>
      </c>
      <c r="C11" s="33" t="s">
        <v>133</v>
      </c>
      <c r="D11" s="4">
        <v>14505</v>
      </c>
      <c r="E11" s="15">
        <v>11303</v>
      </c>
      <c r="F11" s="15">
        <v>18495</v>
      </c>
      <c r="G11" s="4">
        <v>17287</v>
      </c>
      <c r="H11" s="4">
        <v>11047</v>
      </c>
      <c r="I11" s="4">
        <v>5118</v>
      </c>
      <c r="J11" s="4">
        <v>1336</v>
      </c>
      <c r="K11" s="4">
        <v>79091</v>
      </c>
      <c r="L11" s="4">
        <v>24775</v>
      </c>
      <c r="M11" s="15">
        <v>13257</v>
      </c>
      <c r="N11" s="15">
        <v>20511</v>
      </c>
      <c r="O11" s="4">
        <v>21601</v>
      </c>
      <c r="P11" s="4">
        <v>10862</v>
      </c>
      <c r="Q11" s="4">
        <v>4977</v>
      </c>
      <c r="R11" s="4">
        <v>1546</v>
      </c>
      <c r="S11" s="4">
        <v>97529</v>
      </c>
      <c r="T11" s="4">
        <f t="shared" si="0"/>
        <v>176620</v>
      </c>
      <c r="U11" s="23">
        <f t="shared" si="1"/>
        <v>29798</v>
      </c>
      <c r="V11" s="23">
        <f t="shared" si="2"/>
        <v>33768</v>
      </c>
      <c r="W11" s="11">
        <f t="shared" si="3"/>
        <v>0.13323041814886905</v>
      </c>
      <c r="X11" s="11">
        <f t="shared" si="4"/>
        <v>0.3599026157853018</v>
      </c>
    </row>
    <row r="12" spans="1:24" ht="17.399999999999999">
      <c r="A12" s="5">
        <v>10</v>
      </c>
      <c r="B12" t="s">
        <v>13</v>
      </c>
      <c r="C12" s="31" t="s">
        <v>130</v>
      </c>
      <c r="D12" s="1">
        <v>10406</v>
      </c>
      <c r="E12" s="15">
        <v>15656</v>
      </c>
      <c r="F12" s="15">
        <v>14183</v>
      </c>
      <c r="G12" s="1">
        <v>11154</v>
      </c>
      <c r="H12" s="1">
        <v>5398</v>
      </c>
      <c r="I12" s="1">
        <v>2189</v>
      </c>
      <c r="J12" s="1">
        <v>790</v>
      </c>
      <c r="K12" s="1">
        <v>59776</v>
      </c>
      <c r="L12" s="1">
        <v>22057</v>
      </c>
      <c r="M12" s="15">
        <v>27279</v>
      </c>
      <c r="N12" s="15">
        <v>23129</v>
      </c>
      <c r="O12" s="1">
        <v>20126</v>
      </c>
      <c r="P12" s="1">
        <v>9715</v>
      </c>
      <c r="Q12" s="1">
        <v>3781</v>
      </c>
      <c r="R12" s="1">
        <v>1384</v>
      </c>
      <c r="S12" s="1">
        <v>107471</v>
      </c>
      <c r="T12" s="1">
        <f t="shared" si="0"/>
        <v>167247</v>
      </c>
      <c r="U12" s="21">
        <f t="shared" si="1"/>
        <v>29839</v>
      </c>
      <c r="V12" s="21">
        <f t="shared" si="2"/>
        <v>50408</v>
      </c>
      <c r="W12" s="9">
        <f t="shared" si="3"/>
        <v>0.68933275243808434</v>
      </c>
      <c r="X12" s="9">
        <f t="shared" si="4"/>
        <v>0.47981129706362446</v>
      </c>
    </row>
    <row r="13" spans="1:24" ht="17.399999999999999">
      <c r="A13" s="5">
        <v>11</v>
      </c>
      <c r="B13" t="s">
        <v>5</v>
      </c>
      <c r="C13" s="31" t="s">
        <v>133</v>
      </c>
      <c r="D13" s="1">
        <v>5291</v>
      </c>
      <c r="E13" s="15">
        <v>6002</v>
      </c>
      <c r="F13" s="15">
        <v>8838</v>
      </c>
      <c r="G13" s="1">
        <v>8805</v>
      </c>
      <c r="H13" s="1">
        <v>6958</v>
      </c>
      <c r="I13" s="1">
        <v>3374</v>
      </c>
      <c r="J13" s="1">
        <v>948</v>
      </c>
      <c r="K13" s="1">
        <v>40215</v>
      </c>
      <c r="L13" s="1">
        <v>17072</v>
      </c>
      <c r="M13" s="15">
        <v>11788</v>
      </c>
      <c r="N13" s="15">
        <v>17862</v>
      </c>
      <c r="O13" s="1">
        <v>19613</v>
      </c>
      <c r="P13" s="1">
        <v>14130</v>
      </c>
      <c r="Q13" s="1">
        <v>7236</v>
      </c>
      <c r="R13" s="1">
        <v>2341</v>
      </c>
      <c r="S13" s="1">
        <v>90042</v>
      </c>
      <c r="T13" s="1">
        <f t="shared" si="0"/>
        <v>130257</v>
      </c>
      <c r="U13" s="21">
        <f t="shared" si="1"/>
        <v>14840</v>
      </c>
      <c r="V13" s="21">
        <f t="shared" si="2"/>
        <v>29650</v>
      </c>
      <c r="W13" s="9">
        <f t="shared" si="3"/>
        <v>0.99797843665768193</v>
      </c>
      <c r="X13" s="9">
        <f t="shared" si="4"/>
        <v>0.34155554020129436</v>
      </c>
    </row>
    <row r="14" spans="1:24" ht="17.399999999999999">
      <c r="A14" s="5">
        <v>12</v>
      </c>
      <c r="B14" t="s">
        <v>22</v>
      </c>
      <c r="C14" s="31" t="s">
        <v>130</v>
      </c>
      <c r="D14" s="1">
        <v>8681</v>
      </c>
      <c r="E14" s="15">
        <v>7232</v>
      </c>
      <c r="F14" s="15">
        <v>8935</v>
      </c>
      <c r="G14" s="1">
        <v>8573</v>
      </c>
      <c r="H14" s="1">
        <v>4374</v>
      </c>
      <c r="I14" s="1">
        <v>2375</v>
      </c>
      <c r="J14" s="1">
        <v>970</v>
      </c>
      <c r="K14" s="1">
        <v>41139</v>
      </c>
      <c r="L14" s="1">
        <v>15375</v>
      </c>
      <c r="M14" s="15">
        <v>10332</v>
      </c>
      <c r="N14" s="15">
        <v>11308</v>
      </c>
      <c r="O14" s="1">
        <v>13380</v>
      </c>
      <c r="P14" s="1">
        <v>6722</v>
      </c>
      <c r="Q14" s="1">
        <v>3386</v>
      </c>
      <c r="R14" s="1">
        <v>1660</v>
      </c>
      <c r="S14" s="1">
        <v>62162</v>
      </c>
      <c r="T14" s="1">
        <f t="shared" si="0"/>
        <v>103301</v>
      </c>
      <c r="U14" s="21">
        <f t="shared" si="1"/>
        <v>16167</v>
      </c>
      <c r="V14" s="21">
        <f t="shared" si="2"/>
        <v>21640</v>
      </c>
      <c r="W14" s="9">
        <f t="shared" si="3"/>
        <v>0.3385291024927321</v>
      </c>
      <c r="X14" s="9">
        <f t="shared" si="4"/>
        <v>0.36598871259716748</v>
      </c>
    </row>
    <row r="15" spans="1:24" ht="17.399999999999999">
      <c r="A15" s="5">
        <v>13</v>
      </c>
      <c r="B15" t="s">
        <v>48</v>
      </c>
      <c r="C15" s="31" t="s">
        <v>132</v>
      </c>
      <c r="D15" s="1">
        <v>3322</v>
      </c>
      <c r="E15" s="15">
        <v>6494</v>
      </c>
      <c r="F15" s="15">
        <v>5606</v>
      </c>
      <c r="G15" s="1">
        <v>4805</v>
      </c>
      <c r="H15" s="1">
        <v>4190</v>
      </c>
      <c r="I15" s="1">
        <v>2865</v>
      </c>
      <c r="J15" s="1">
        <v>1324</v>
      </c>
      <c r="K15" s="1">
        <v>28606</v>
      </c>
      <c r="L15" s="1">
        <v>11618</v>
      </c>
      <c r="M15" s="15">
        <v>15551</v>
      </c>
      <c r="N15" s="15">
        <v>13373</v>
      </c>
      <c r="O15" s="1">
        <v>12975</v>
      </c>
      <c r="P15" s="1">
        <v>10053</v>
      </c>
      <c r="Q15" s="1">
        <v>6515</v>
      </c>
      <c r="R15" s="1">
        <v>2829</v>
      </c>
      <c r="S15" s="1">
        <v>72913</v>
      </c>
      <c r="T15" s="1">
        <f t="shared" si="0"/>
        <v>101519</v>
      </c>
      <c r="U15" s="21">
        <f t="shared" si="1"/>
        <v>12100</v>
      </c>
      <c r="V15" s="21">
        <f t="shared" si="2"/>
        <v>28924</v>
      </c>
      <c r="W15" s="9">
        <f t="shared" si="3"/>
        <v>1.3904132231404958</v>
      </c>
      <c r="X15" s="9">
        <f t="shared" si="4"/>
        <v>0.40410169524916517</v>
      </c>
    </row>
    <row r="16" spans="1:24" ht="17.399999999999999">
      <c r="A16" s="5">
        <v>14</v>
      </c>
      <c r="B16" s="3" t="s">
        <v>44</v>
      </c>
      <c r="C16" s="33" t="s">
        <v>134</v>
      </c>
      <c r="D16" s="4">
        <v>4692</v>
      </c>
      <c r="E16" s="15">
        <v>7767</v>
      </c>
      <c r="F16" s="15">
        <v>8905</v>
      </c>
      <c r="G16" s="4">
        <v>8596</v>
      </c>
      <c r="H16" s="4">
        <v>7232</v>
      </c>
      <c r="I16" s="4">
        <v>3642</v>
      </c>
      <c r="J16" s="4">
        <v>1065</v>
      </c>
      <c r="K16" s="4">
        <v>41899</v>
      </c>
      <c r="L16" s="4">
        <v>7544</v>
      </c>
      <c r="M16" s="15">
        <v>9017</v>
      </c>
      <c r="N16" s="15">
        <v>10429</v>
      </c>
      <c r="O16" s="4">
        <v>10000</v>
      </c>
      <c r="P16" s="4">
        <v>7582</v>
      </c>
      <c r="Q16" s="4">
        <v>3839</v>
      </c>
      <c r="R16" s="4">
        <v>1263</v>
      </c>
      <c r="S16" s="4">
        <v>49673</v>
      </c>
      <c r="T16" s="4">
        <f t="shared" si="0"/>
        <v>91572</v>
      </c>
      <c r="U16" s="23">
        <f t="shared" si="1"/>
        <v>16672</v>
      </c>
      <c r="V16" s="23">
        <f t="shared" si="2"/>
        <v>19446</v>
      </c>
      <c r="W16" s="11">
        <f t="shared" si="3"/>
        <v>0.16638675623800384</v>
      </c>
      <c r="X16" s="11">
        <f t="shared" si="4"/>
        <v>0.39442187568252302</v>
      </c>
    </row>
    <row r="17" spans="1:24" ht="17.399999999999999">
      <c r="A17" s="5">
        <v>15</v>
      </c>
      <c r="B17" t="s">
        <v>3</v>
      </c>
      <c r="C17" s="31" t="s">
        <v>135</v>
      </c>
      <c r="D17" s="1">
        <v>4636</v>
      </c>
      <c r="E17" s="15">
        <v>6902</v>
      </c>
      <c r="F17" s="15">
        <v>6922</v>
      </c>
      <c r="G17" s="1">
        <v>6261</v>
      </c>
      <c r="H17" s="1">
        <v>4343</v>
      </c>
      <c r="I17" s="1">
        <v>2299</v>
      </c>
      <c r="J17" s="1">
        <v>1125</v>
      </c>
      <c r="K17" s="1">
        <v>32489</v>
      </c>
      <c r="L17" s="1">
        <v>11404</v>
      </c>
      <c r="M17" s="15">
        <v>9814</v>
      </c>
      <c r="N17" s="15">
        <v>10900</v>
      </c>
      <c r="O17" s="1">
        <v>11412</v>
      </c>
      <c r="P17" s="1">
        <v>7073</v>
      </c>
      <c r="Q17" s="1">
        <v>3839</v>
      </c>
      <c r="R17" s="1">
        <v>1640</v>
      </c>
      <c r="S17" s="1">
        <v>56083</v>
      </c>
      <c r="T17" s="1">
        <f t="shared" si="0"/>
        <v>88572</v>
      </c>
      <c r="U17" s="21">
        <f t="shared" si="1"/>
        <v>13824</v>
      </c>
      <c r="V17" s="21">
        <f t="shared" si="2"/>
        <v>20714</v>
      </c>
      <c r="W17" s="9">
        <f t="shared" si="3"/>
        <v>0.49840856481481483</v>
      </c>
      <c r="X17" s="9">
        <f t="shared" si="4"/>
        <v>0.38994264553131913</v>
      </c>
    </row>
    <row r="18" spans="1:24" ht="17.399999999999999">
      <c r="A18" s="5">
        <v>16</v>
      </c>
      <c r="B18" s="3" t="s">
        <v>18</v>
      </c>
      <c r="C18" s="33" t="s">
        <v>136</v>
      </c>
      <c r="D18" s="4">
        <v>3315</v>
      </c>
      <c r="E18" s="15">
        <v>7466</v>
      </c>
      <c r="F18" s="15">
        <v>5842</v>
      </c>
      <c r="G18" s="4">
        <v>4643</v>
      </c>
      <c r="H18" s="4">
        <v>3336</v>
      </c>
      <c r="I18" s="4">
        <v>1698</v>
      </c>
      <c r="J18" s="4">
        <v>721</v>
      </c>
      <c r="K18" s="4">
        <v>27021</v>
      </c>
      <c r="L18" s="4">
        <v>8616</v>
      </c>
      <c r="M18" s="15">
        <v>16744</v>
      </c>
      <c r="N18" s="15">
        <v>11299</v>
      </c>
      <c r="O18" s="4">
        <v>9248</v>
      </c>
      <c r="P18" s="4">
        <v>6183</v>
      </c>
      <c r="Q18" s="4">
        <v>2972</v>
      </c>
      <c r="R18" s="4">
        <v>1186</v>
      </c>
      <c r="S18" s="4">
        <v>56248</v>
      </c>
      <c r="T18" s="4">
        <f t="shared" si="0"/>
        <v>83269</v>
      </c>
      <c r="U18" s="23">
        <f t="shared" si="1"/>
        <v>13308</v>
      </c>
      <c r="V18" s="23">
        <f t="shared" si="2"/>
        <v>28043</v>
      </c>
      <c r="W18" s="11">
        <f t="shared" si="3"/>
        <v>1.1072287345957319</v>
      </c>
      <c r="X18" s="11">
        <f t="shared" si="4"/>
        <v>0.49659537162689599</v>
      </c>
    </row>
    <row r="19" spans="1:24" ht="17.399999999999999">
      <c r="A19" s="5">
        <v>17</v>
      </c>
      <c r="B19" t="s">
        <v>4</v>
      </c>
      <c r="C19" s="31" t="s">
        <v>130</v>
      </c>
      <c r="D19" s="1">
        <v>4199</v>
      </c>
      <c r="E19" s="15">
        <v>6173</v>
      </c>
      <c r="F19" s="15">
        <v>6191</v>
      </c>
      <c r="G19" s="1">
        <v>4828</v>
      </c>
      <c r="H19" s="1">
        <v>2465</v>
      </c>
      <c r="I19" s="1">
        <v>988</v>
      </c>
      <c r="J19" s="1">
        <v>322</v>
      </c>
      <c r="K19" s="1">
        <v>25165</v>
      </c>
      <c r="L19" s="1">
        <v>11762</v>
      </c>
      <c r="M19" s="15">
        <v>11907</v>
      </c>
      <c r="N19" s="15">
        <v>9934</v>
      </c>
      <c r="O19" s="1">
        <v>9328</v>
      </c>
      <c r="P19" s="1">
        <v>4291</v>
      </c>
      <c r="Q19" s="1">
        <v>1863</v>
      </c>
      <c r="R19" s="1">
        <v>605</v>
      </c>
      <c r="S19" s="1">
        <v>49691</v>
      </c>
      <c r="T19" s="1">
        <f t="shared" si="0"/>
        <v>74856</v>
      </c>
      <c r="U19" s="21">
        <f t="shared" si="1"/>
        <v>12364</v>
      </c>
      <c r="V19" s="21">
        <f t="shared" si="2"/>
        <v>21841</v>
      </c>
      <c r="W19" s="9">
        <f t="shared" si="3"/>
        <v>0.76649951472015532</v>
      </c>
      <c r="X19" s="9">
        <f t="shared" si="4"/>
        <v>0.45694399914502509</v>
      </c>
    </row>
    <row r="20" spans="1:24" ht="17.399999999999999">
      <c r="A20" s="5">
        <v>18</v>
      </c>
      <c r="B20" t="s">
        <v>41</v>
      </c>
      <c r="C20" s="31" t="s">
        <v>128</v>
      </c>
      <c r="D20" s="1">
        <v>3710</v>
      </c>
      <c r="E20" s="15">
        <v>11351</v>
      </c>
      <c r="F20" s="15">
        <v>6935</v>
      </c>
      <c r="G20" s="1">
        <v>3986</v>
      </c>
      <c r="H20" s="1">
        <v>2792</v>
      </c>
      <c r="I20" s="1">
        <v>1514</v>
      </c>
      <c r="J20" s="1">
        <v>550</v>
      </c>
      <c r="K20" s="1">
        <v>30837</v>
      </c>
      <c r="L20" s="1">
        <v>5950</v>
      </c>
      <c r="M20" s="15">
        <v>17425</v>
      </c>
      <c r="N20" s="15">
        <v>8549</v>
      </c>
      <c r="O20" s="1">
        <v>4823</v>
      </c>
      <c r="P20" s="1">
        <v>3084</v>
      </c>
      <c r="Q20" s="1">
        <v>1319</v>
      </c>
      <c r="R20" s="1">
        <v>600</v>
      </c>
      <c r="S20" s="1">
        <v>41749</v>
      </c>
      <c r="T20" s="1">
        <f t="shared" si="0"/>
        <v>72586</v>
      </c>
      <c r="U20" s="21">
        <f t="shared" si="1"/>
        <v>18286</v>
      </c>
      <c r="V20" s="21">
        <f t="shared" si="2"/>
        <v>25974</v>
      </c>
      <c r="W20" s="9">
        <f t="shared" si="3"/>
        <v>0.42043093076670679</v>
      </c>
      <c r="X20" s="9">
        <f t="shared" si="4"/>
        <v>0.60975945774667295</v>
      </c>
    </row>
    <row r="21" spans="1:24" ht="17.399999999999999">
      <c r="A21" s="5">
        <v>19</v>
      </c>
      <c r="B21" t="s">
        <v>30</v>
      </c>
      <c r="C21" s="31" t="s">
        <v>130</v>
      </c>
      <c r="D21" s="1">
        <v>4264</v>
      </c>
      <c r="E21" s="15">
        <v>4736</v>
      </c>
      <c r="F21" s="15">
        <v>5642</v>
      </c>
      <c r="G21" s="1">
        <v>4497</v>
      </c>
      <c r="H21" s="1">
        <v>2301</v>
      </c>
      <c r="I21" s="1">
        <v>1145</v>
      </c>
      <c r="J21" s="1">
        <v>426</v>
      </c>
      <c r="K21" s="1">
        <v>23010</v>
      </c>
      <c r="L21" s="1">
        <v>9144</v>
      </c>
      <c r="M21" s="15">
        <v>9148</v>
      </c>
      <c r="N21" s="15">
        <v>9537</v>
      </c>
      <c r="O21" s="1">
        <v>8604</v>
      </c>
      <c r="P21" s="1">
        <v>4803</v>
      </c>
      <c r="Q21" s="1">
        <v>2163</v>
      </c>
      <c r="R21" s="1">
        <v>829</v>
      </c>
      <c r="S21" s="1">
        <v>44228</v>
      </c>
      <c r="T21" s="1">
        <f t="shared" si="0"/>
        <v>67238</v>
      </c>
      <c r="U21" s="21">
        <f t="shared" si="1"/>
        <v>10378</v>
      </c>
      <c r="V21" s="21">
        <f t="shared" si="2"/>
        <v>18685</v>
      </c>
      <c r="W21" s="9">
        <f t="shared" si="3"/>
        <v>0.80044324532665256</v>
      </c>
      <c r="X21" s="9">
        <f t="shared" si="4"/>
        <v>0.43224069722478359</v>
      </c>
    </row>
    <row r="22" spans="1:24" ht="17.399999999999999">
      <c r="A22" s="5">
        <v>20</v>
      </c>
      <c r="B22" t="s">
        <v>10</v>
      </c>
      <c r="C22" s="31" t="s">
        <v>137</v>
      </c>
      <c r="D22" s="1">
        <v>2802</v>
      </c>
      <c r="E22" s="15">
        <v>9340</v>
      </c>
      <c r="F22" s="15">
        <v>4746</v>
      </c>
      <c r="G22" s="1">
        <v>3629</v>
      </c>
      <c r="H22" s="1">
        <v>2578</v>
      </c>
      <c r="I22" s="1">
        <v>973</v>
      </c>
      <c r="J22" s="1">
        <v>320</v>
      </c>
      <c r="K22" s="1">
        <v>24388</v>
      </c>
      <c r="L22" s="1">
        <v>5973</v>
      </c>
      <c r="M22" s="15">
        <v>12324</v>
      </c>
      <c r="N22" s="15">
        <v>7320</v>
      </c>
      <c r="O22" s="1">
        <v>5689</v>
      </c>
      <c r="P22" s="1">
        <v>3514</v>
      </c>
      <c r="Q22" s="1">
        <v>1559</v>
      </c>
      <c r="R22" s="1">
        <v>422</v>
      </c>
      <c r="S22" s="1">
        <v>36802</v>
      </c>
      <c r="T22" s="1">
        <f t="shared" si="0"/>
        <v>61190</v>
      </c>
      <c r="U22" s="21">
        <f t="shared" si="1"/>
        <v>14086</v>
      </c>
      <c r="V22" s="21">
        <f t="shared" si="2"/>
        <v>19644</v>
      </c>
      <c r="W22" s="9">
        <f t="shared" si="3"/>
        <v>0.39457617492545788</v>
      </c>
      <c r="X22" s="9">
        <f t="shared" si="4"/>
        <v>0.55123386174211475</v>
      </c>
    </row>
    <row r="23" spans="1:24" ht="17.399999999999999">
      <c r="A23" s="5">
        <v>21</v>
      </c>
      <c r="B23" t="s">
        <v>6</v>
      </c>
      <c r="C23" s="31" t="s">
        <v>133</v>
      </c>
      <c r="D23" s="1">
        <v>3557</v>
      </c>
      <c r="E23" s="15">
        <v>2774</v>
      </c>
      <c r="F23" s="15">
        <v>5170</v>
      </c>
      <c r="G23" s="1">
        <v>5864</v>
      </c>
      <c r="H23" s="1">
        <v>4774</v>
      </c>
      <c r="I23" s="1">
        <v>2640</v>
      </c>
      <c r="J23" s="1">
        <v>872</v>
      </c>
      <c r="K23" s="1">
        <v>25651</v>
      </c>
      <c r="L23" s="1">
        <v>4617</v>
      </c>
      <c r="M23" s="15">
        <v>2747</v>
      </c>
      <c r="N23" s="15">
        <v>5183</v>
      </c>
      <c r="O23" s="1">
        <v>5834</v>
      </c>
      <c r="P23" s="1">
        <v>4935</v>
      </c>
      <c r="Q23" s="1">
        <v>2645</v>
      </c>
      <c r="R23" s="1">
        <v>926</v>
      </c>
      <c r="S23" s="1">
        <v>26887</v>
      </c>
      <c r="T23" s="1">
        <f t="shared" si="0"/>
        <v>52538</v>
      </c>
      <c r="U23" s="21">
        <f t="shared" si="1"/>
        <v>7944</v>
      </c>
      <c r="V23" s="21">
        <f t="shared" si="2"/>
        <v>7930</v>
      </c>
      <c r="W23" s="9">
        <f t="shared" si="3"/>
        <v>-1.7623363544813696E-3</v>
      </c>
      <c r="X23" s="9">
        <f t="shared" si="4"/>
        <v>0.30214321062849747</v>
      </c>
    </row>
    <row r="24" spans="1:24" ht="17.399999999999999">
      <c r="A24" s="5">
        <v>22</v>
      </c>
      <c r="B24" t="s">
        <v>35</v>
      </c>
      <c r="C24" s="31" t="s">
        <v>137</v>
      </c>
      <c r="D24" s="1">
        <v>5449</v>
      </c>
      <c r="E24" s="15">
        <v>3104</v>
      </c>
      <c r="F24" s="15">
        <v>2889</v>
      </c>
      <c r="G24" s="1">
        <v>4860</v>
      </c>
      <c r="H24" s="1">
        <v>2919</v>
      </c>
      <c r="I24" s="1">
        <v>1496</v>
      </c>
      <c r="J24" s="1">
        <v>1344</v>
      </c>
      <c r="K24" s="1">
        <v>22061</v>
      </c>
      <c r="L24" s="1">
        <v>6174</v>
      </c>
      <c r="M24" s="15">
        <v>4475</v>
      </c>
      <c r="N24" s="15">
        <v>4019</v>
      </c>
      <c r="O24" s="1">
        <v>5003</v>
      </c>
      <c r="P24" s="1">
        <v>3917</v>
      </c>
      <c r="Q24" s="1">
        <v>1926</v>
      </c>
      <c r="R24" s="1">
        <v>957</v>
      </c>
      <c r="S24" s="1">
        <v>26471</v>
      </c>
      <c r="T24" s="1">
        <f t="shared" si="0"/>
        <v>48532</v>
      </c>
      <c r="U24" s="21">
        <f t="shared" si="1"/>
        <v>5993</v>
      </c>
      <c r="V24" s="21">
        <f t="shared" si="2"/>
        <v>8494</v>
      </c>
      <c r="W24" s="9">
        <f t="shared" si="3"/>
        <v>0.41732020690805938</v>
      </c>
      <c r="X24" s="9">
        <f t="shared" si="4"/>
        <v>0.29850407978241161</v>
      </c>
    </row>
    <row r="25" spans="1:24" ht="17.399999999999999">
      <c r="A25" s="5">
        <v>23</v>
      </c>
      <c r="B25" t="s">
        <v>45</v>
      </c>
      <c r="C25" s="31" t="s">
        <v>137</v>
      </c>
      <c r="D25" s="1">
        <v>3460</v>
      </c>
      <c r="E25" s="15">
        <v>4209</v>
      </c>
      <c r="F25" s="15">
        <v>5197</v>
      </c>
      <c r="G25" s="1">
        <v>4531</v>
      </c>
      <c r="H25" s="1">
        <v>2685</v>
      </c>
      <c r="I25" s="1">
        <v>1446</v>
      </c>
      <c r="J25" s="1">
        <v>697</v>
      </c>
      <c r="K25" s="1">
        <v>22226</v>
      </c>
      <c r="L25" s="1">
        <v>5220</v>
      </c>
      <c r="M25" s="15">
        <v>3842</v>
      </c>
      <c r="N25" s="15">
        <v>5554</v>
      </c>
      <c r="O25" s="1">
        <v>5569</v>
      </c>
      <c r="P25" s="1">
        <v>3139</v>
      </c>
      <c r="Q25" s="1">
        <v>1505</v>
      </c>
      <c r="R25" s="1">
        <v>643</v>
      </c>
      <c r="S25" s="1">
        <v>25472</v>
      </c>
      <c r="T25" s="1">
        <f t="shared" si="0"/>
        <v>47698</v>
      </c>
      <c r="U25" s="21">
        <f t="shared" si="1"/>
        <v>9406</v>
      </c>
      <c r="V25" s="21">
        <f t="shared" si="2"/>
        <v>9396</v>
      </c>
      <c r="W25" s="9">
        <f t="shared" si="3"/>
        <v>-1.06315118009781E-3</v>
      </c>
      <c r="X25" s="9">
        <f t="shared" si="4"/>
        <v>0.39418843557381861</v>
      </c>
    </row>
    <row r="26" spans="1:24" ht="17.399999999999999">
      <c r="A26" s="5">
        <v>24</v>
      </c>
      <c r="B26" s="3" t="s">
        <v>20</v>
      </c>
      <c r="C26" s="33" t="s">
        <v>138</v>
      </c>
      <c r="D26" s="4">
        <v>2357</v>
      </c>
      <c r="E26" s="15">
        <v>3855</v>
      </c>
      <c r="F26" s="15">
        <v>4260</v>
      </c>
      <c r="G26" s="4">
        <v>4056</v>
      </c>
      <c r="H26" s="4">
        <v>3157</v>
      </c>
      <c r="I26" s="4">
        <v>1750</v>
      </c>
      <c r="J26" s="4">
        <v>714</v>
      </c>
      <c r="K26" s="4">
        <v>20148</v>
      </c>
      <c r="L26" s="4">
        <v>3719</v>
      </c>
      <c r="M26" s="15">
        <v>4318</v>
      </c>
      <c r="N26" s="15">
        <v>5064</v>
      </c>
      <c r="O26" s="4">
        <v>5219</v>
      </c>
      <c r="P26" s="4">
        <v>3556</v>
      </c>
      <c r="Q26" s="4">
        <v>1996</v>
      </c>
      <c r="R26" s="4">
        <v>901</v>
      </c>
      <c r="S26" s="4">
        <v>24772</v>
      </c>
      <c r="T26" s="4">
        <f t="shared" si="0"/>
        <v>44920</v>
      </c>
      <c r="U26" s="23">
        <f t="shared" si="1"/>
        <v>8115</v>
      </c>
      <c r="V26" s="23">
        <f t="shared" si="2"/>
        <v>9382</v>
      </c>
      <c r="W26" s="11">
        <f t="shared" si="3"/>
        <v>0.15613062230437461</v>
      </c>
      <c r="X26" s="11">
        <f t="shared" si="4"/>
        <v>0.38951469278717721</v>
      </c>
    </row>
    <row r="27" spans="1:24" ht="17.399999999999999">
      <c r="A27" s="5">
        <v>25</v>
      </c>
      <c r="B27" s="3" t="s">
        <v>46</v>
      </c>
      <c r="C27" s="33" t="s">
        <v>133</v>
      </c>
      <c r="D27" s="4">
        <v>2539</v>
      </c>
      <c r="E27" s="15">
        <v>1972</v>
      </c>
      <c r="F27" s="15">
        <v>3296</v>
      </c>
      <c r="G27" s="4">
        <v>3054</v>
      </c>
      <c r="H27" s="4">
        <v>1923</v>
      </c>
      <c r="I27" s="4">
        <v>842</v>
      </c>
      <c r="J27" s="4">
        <v>177</v>
      </c>
      <c r="K27" s="4">
        <v>13801</v>
      </c>
      <c r="L27" s="4">
        <v>6129</v>
      </c>
      <c r="M27" s="15">
        <v>3328</v>
      </c>
      <c r="N27" s="15">
        <v>5148</v>
      </c>
      <c r="O27" s="4">
        <v>5391</v>
      </c>
      <c r="P27" s="4">
        <v>2726</v>
      </c>
      <c r="Q27" s="4">
        <v>1214</v>
      </c>
      <c r="R27" s="4">
        <v>364</v>
      </c>
      <c r="S27" s="4">
        <v>24300</v>
      </c>
      <c r="T27" s="4">
        <f t="shared" si="0"/>
        <v>38101</v>
      </c>
      <c r="U27" s="23">
        <f t="shared" si="1"/>
        <v>5268</v>
      </c>
      <c r="V27" s="23">
        <f t="shared" si="2"/>
        <v>8476</v>
      </c>
      <c r="W27" s="11">
        <f t="shared" si="3"/>
        <v>0.60895975702353833</v>
      </c>
      <c r="X27" s="11">
        <f t="shared" si="4"/>
        <v>0.36072544027715808</v>
      </c>
    </row>
    <row r="28" spans="1:24" ht="17.399999999999999">
      <c r="A28" s="5">
        <v>26</v>
      </c>
      <c r="B28" t="s">
        <v>19</v>
      </c>
      <c r="C28" s="31" t="s">
        <v>139</v>
      </c>
      <c r="D28" s="1">
        <v>3217</v>
      </c>
      <c r="E28" s="15">
        <v>2979</v>
      </c>
      <c r="F28" s="15">
        <v>3664</v>
      </c>
      <c r="G28" s="1">
        <v>3861</v>
      </c>
      <c r="H28" s="1">
        <v>2004</v>
      </c>
      <c r="I28" s="1">
        <v>893</v>
      </c>
      <c r="J28" s="1">
        <v>630</v>
      </c>
      <c r="K28" s="1">
        <v>17247</v>
      </c>
      <c r="L28" s="1">
        <v>4109</v>
      </c>
      <c r="M28" s="15">
        <v>3328</v>
      </c>
      <c r="N28" s="15">
        <v>4248</v>
      </c>
      <c r="O28" s="1">
        <v>4321</v>
      </c>
      <c r="P28" s="1">
        <v>2506</v>
      </c>
      <c r="Q28" s="1">
        <v>1158</v>
      </c>
      <c r="R28" s="1">
        <v>715</v>
      </c>
      <c r="S28" s="1">
        <v>20385</v>
      </c>
      <c r="T28" s="1">
        <f t="shared" si="0"/>
        <v>37632</v>
      </c>
      <c r="U28" s="21">
        <f t="shared" si="1"/>
        <v>6643</v>
      </c>
      <c r="V28" s="21">
        <f t="shared" si="2"/>
        <v>7576</v>
      </c>
      <c r="W28" s="9">
        <f t="shared" si="3"/>
        <v>0.14044859250338704</v>
      </c>
      <c r="X28" s="9">
        <f t="shared" si="4"/>
        <v>0.37784332482993199</v>
      </c>
    </row>
    <row r="29" spans="1:24" ht="17.399999999999999">
      <c r="A29" s="5">
        <v>27</v>
      </c>
      <c r="B29" t="s">
        <v>12</v>
      </c>
      <c r="C29" s="31" t="s">
        <v>140</v>
      </c>
      <c r="D29" s="1">
        <v>3436</v>
      </c>
      <c r="E29" s="15">
        <v>9232</v>
      </c>
      <c r="F29" s="15">
        <v>2687</v>
      </c>
      <c r="G29" s="1">
        <v>2771</v>
      </c>
      <c r="H29" s="1">
        <v>2016</v>
      </c>
      <c r="I29" s="1">
        <v>962</v>
      </c>
      <c r="J29" s="1">
        <v>241</v>
      </c>
      <c r="K29" s="1">
        <v>21344</v>
      </c>
      <c r="L29" s="1">
        <v>3026</v>
      </c>
      <c r="M29" s="15">
        <v>2899</v>
      </c>
      <c r="N29" s="15">
        <v>2949</v>
      </c>
      <c r="O29" s="1">
        <v>2873</v>
      </c>
      <c r="P29" s="1">
        <v>2153</v>
      </c>
      <c r="Q29" s="1">
        <v>1066</v>
      </c>
      <c r="R29" s="1">
        <v>275</v>
      </c>
      <c r="S29" s="1">
        <v>15241</v>
      </c>
      <c r="T29" s="1">
        <f t="shared" si="0"/>
        <v>36585</v>
      </c>
      <c r="U29" s="21">
        <f t="shared" si="1"/>
        <v>11919</v>
      </c>
      <c r="V29" s="21">
        <f t="shared" si="2"/>
        <v>5848</v>
      </c>
      <c r="W29" s="9">
        <f t="shared" si="3"/>
        <v>-0.5093548116452723</v>
      </c>
      <c r="X29" s="9">
        <f t="shared" si="4"/>
        <v>0.48563618969523026</v>
      </c>
    </row>
    <row r="30" spans="1:24" ht="17.399999999999999">
      <c r="A30" s="5">
        <v>28</v>
      </c>
      <c r="B30" s="3" t="s">
        <v>11</v>
      </c>
      <c r="C30" s="33" t="s">
        <v>130</v>
      </c>
      <c r="D30" s="4">
        <v>1671</v>
      </c>
      <c r="E30" s="15">
        <v>2053</v>
      </c>
      <c r="F30" s="15">
        <v>2519</v>
      </c>
      <c r="G30" s="4">
        <v>1838</v>
      </c>
      <c r="H30" s="4">
        <v>1055</v>
      </c>
      <c r="I30" s="4">
        <v>562</v>
      </c>
      <c r="J30" s="4">
        <v>183</v>
      </c>
      <c r="K30" s="4">
        <v>9882</v>
      </c>
      <c r="L30" s="4">
        <v>3798</v>
      </c>
      <c r="M30" s="15">
        <v>4613</v>
      </c>
      <c r="N30" s="15">
        <v>4634</v>
      </c>
      <c r="O30" s="4">
        <v>3901</v>
      </c>
      <c r="P30" s="4">
        <v>2616</v>
      </c>
      <c r="Q30" s="4">
        <v>1201</v>
      </c>
      <c r="R30" s="4">
        <v>397</v>
      </c>
      <c r="S30" s="4">
        <v>21161</v>
      </c>
      <c r="T30" s="4">
        <f t="shared" si="0"/>
        <v>31043</v>
      </c>
      <c r="U30" s="23">
        <f t="shared" si="1"/>
        <v>4572</v>
      </c>
      <c r="V30" s="23">
        <f t="shared" si="2"/>
        <v>9247</v>
      </c>
      <c r="W30" s="11">
        <f t="shared" si="3"/>
        <v>1.0225284339457568</v>
      </c>
      <c r="X30" s="11">
        <f t="shared" si="4"/>
        <v>0.44515671810069901</v>
      </c>
    </row>
    <row r="31" spans="1:24" ht="17.399999999999999">
      <c r="A31" s="5">
        <v>29</v>
      </c>
      <c r="B31" s="3" t="s">
        <v>25</v>
      </c>
      <c r="C31" s="33" t="s">
        <v>135</v>
      </c>
      <c r="D31" s="4">
        <v>1586</v>
      </c>
      <c r="E31" s="15">
        <v>2357</v>
      </c>
      <c r="F31" s="15">
        <v>2376</v>
      </c>
      <c r="G31" s="4">
        <v>2096</v>
      </c>
      <c r="H31" s="4">
        <v>1340</v>
      </c>
      <c r="I31" s="4">
        <v>621</v>
      </c>
      <c r="J31" s="4">
        <v>278</v>
      </c>
      <c r="K31" s="4">
        <v>10653</v>
      </c>
      <c r="L31" s="4">
        <v>3755</v>
      </c>
      <c r="M31" s="15">
        <v>3151</v>
      </c>
      <c r="N31" s="15">
        <v>3524</v>
      </c>
      <c r="O31" s="4">
        <v>3669</v>
      </c>
      <c r="P31" s="4">
        <v>2098</v>
      </c>
      <c r="Q31" s="4">
        <v>987</v>
      </c>
      <c r="R31" s="4">
        <v>351</v>
      </c>
      <c r="S31" s="4">
        <v>17534</v>
      </c>
      <c r="T31" s="4">
        <f t="shared" si="0"/>
        <v>28187</v>
      </c>
      <c r="U31" s="23">
        <f t="shared" si="1"/>
        <v>4733</v>
      </c>
      <c r="V31" s="23">
        <f t="shared" si="2"/>
        <v>6675</v>
      </c>
      <c r="W31" s="11">
        <f t="shared" si="3"/>
        <v>0.4103105852524826</v>
      </c>
      <c r="X31" s="11">
        <f t="shared" si="4"/>
        <v>0.40472558271543618</v>
      </c>
    </row>
    <row r="32" spans="1:24" ht="17.399999999999999">
      <c r="A32" s="5">
        <v>30</v>
      </c>
      <c r="B32" s="3" t="s">
        <v>32</v>
      </c>
      <c r="C32" s="33" t="s">
        <v>141</v>
      </c>
      <c r="D32" s="4">
        <v>1356</v>
      </c>
      <c r="E32" s="15">
        <v>1633</v>
      </c>
      <c r="F32" s="15">
        <v>2564</v>
      </c>
      <c r="G32" s="4">
        <v>2866</v>
      </c>
      <c r="H32" s="4">
        <v>2561</v>
      </c>
      <c r="I32" s="4">
        <v>1476</v>
      </c>
      <c r="J32" s="4">
        <v>461</v>
      </c>
      <c r="K32" s="4">
        <v>12917</v>
      </c>
      <c r="L32" s="4">
        <v>1621</v>
      </c>
      <c r="M32" s="15">
        <v>1851</v>
      </c>
      <c r="N32" s="15">
        <v>2767</v>
      </c>
      <c r="O32" s="4">
        <v>3108</v>
      </c>
      <c r="P32" s="4">
        <v>2990</v>
      </c>
      <c r="Q32" s="4">
        <v>1894</v>
      </c>
      <c r="R32" s="4">
        <v>539</v>
      </c>
      <c r="S32" s="4">
        <v>14772</v>
      </c>
      <c r="T32" s="4">
        <f t="shared" si="0"/>
        <v>27689</v>
      </c>
      <c r="U32" s="23">
        <f t="shared" si="1"/>
        <v>4197</v>
      </c>
      <c r="V32" s="23">
        <f t="shared" si="2"/>
        <v>4618</v>
      </c>
      <c r="W32" s="11">
        <f t="shared" si="3"/>
        <v>0.10030974505599237</v>
      </c>
      <c r="X32" s="11">
        <f t="shared" si="4"/>
        <v>0.31835747047564017</v>
      </c>
    </row>
    <row r="33" spans="1:24" ht="17.399999999999999">
      <c r="A33" s="5">
        <v>31</v>
      </c>
      <c r="B33" t="s">
        <v>47</v>
      </c>
      <c r="C33" s="31" t="s">
        <v>140</v>
      </c>
      <c r="D33" s="1">
        <v>1362</v>
      </c>
      <c r="E33" s="15">
        <v>2210</v>
      </c>
      <c r="F33" s="15">
        <v>1757</v>
      </c>
      <c r="G33" s="1">
        <v>1519</v>
      </c>
      <c r="H33" s="1">
        <v>931</v>
      </c>
      <c r="I33" s="1">
        <v>481</v>
      </c>
      <c r="J33" s="1">
        <v>226</v>
      </c>
      <c r="K33" s="1">
        <v>8486</v>
      </c>
      <c r="L33" s="1">
        <v>2890</v>
      </c>
      <c r="M33" s="15">
        <v>3692</v>
      </c>
      <c r="N33" s="15">
        <v>2484</v>
      </c>
      <c r="O33" s="1">
        <v>2492</v>
      </c>
      <c r="P33" s="1">
        <v>1608</v>
      </c>
      <c r="Q33" s="1">
        <v>736</v>
      </c>
      <c r="R33" s="1">
        <v>306</v>
      </c>
      <c r="S33" s="1">
        <v>14208</v>
      </c>
      <c r="T33" s="1">
        <f t="shared" si="0"/>
        <v>22694</v>
      </c>
      <c r="U33" s="21">
        <f t="shared" si="1"/>
        <v>3967</v>
      </c>
      <c r="V33" s="21">
        <f t="shared" si="2"/>
        <v>6176</v>
      </c>
      <c r="W33" s="9">
        <f t="shared" si="3"/>
        <v>0.5568439626922107</v>
      </c>
      <c r="X33" s="9">
        <f t="shared" si="4"/>
        <v>0.4469463294262801</v>
      </c>
    </row>
    <row r="34" spans="1:24" ht="17.399999999999999">
      <c r="A34" s="5">
        <v>32</v>
      </c>
      <c r="B34" s="3" t="s">
        <v>37</v>
      </c>
      <c r="C34" s="33" t="s">
        <v>132</v>
      </c>
      <c r="D34" s="4">
        <v>1397</v>
      </c>
      <c r="E34" s="15">
        <v>1625</v>
      </c>
      <c r="F34" s="15">
        <v>1269</v>
      </c>
      <c r="G34" s="4">
        <v>1240</v>
      </c>
      <c r="H34" s="4">
        <v>847</v>
      </c>
      <c r="I34" s="4">
        <v>422</v>
      </c>
      <c r="J34" s="4">
        <v>284</v>
      </c>
      <c r="K34" s="4">
        <v>7084</v>
      </c>
      <c r="L34" s="4">
        <v>2541</v>
      </c>
      <c r="M34" s="15">
        <v>2766</v>
      </c>
      <c r="N34" s="15">
        <v>2176</v>
      </c>
      <c r="O34" s="4">
        <v>2166</v>
      </c>
      <c r="P34" s="4">
        <v>1460</v>
      </c>
      <c r="Q34" s="4">
        <v>863</v>
      </c>
      <c r="R34" s="4">
        <v>391</v>
      </c>
      <c r="S34" s="4">
        <v>12362</v>
      </c>
      <c r="T34" s="4">
        <f t="shared" si="0"/>
        <v>19446</v>
      </c>
      <c r="U34" s="23">
        <f t="shared" si="1"/>
        <v>2894</v>
      </c>
      <c r="V34" s="23">
        <f t="shared" si="2"/>
        <v>4942</v>
      </c>
      <c r="W34" s="11">
        <f t="shared" si="3"/>
        <v>0.70767104353835519</v>
      </c>
      <c r="X34" s="11">
        <f t="shared" si="4"/>
        <v>0.40296204875038566</v>
      </c>
    </row>
    <row r="35" spans="1:24" ht="17.399999999999999">
      <c r="A35" s="5">
        <v>33</v>
      </c>
      <c r="B35" s="3" t="s">
        <v>28</v>
      </c>
      <c r="C35" s="33" t="s">
        <v>130</v>
      </c>
      <c r="D35" s="4">
        <v>1175</v>
      </c>
      <c r="E35" s="15">
        <v>1799</v>
      </c>
      <c r="F35" s="15">
        <v>1612</v>
      </c>
      <c r="G35" s="4">
        <v>1245</v>
      </c>
      <c r="H35" s="4">
        <v>560</v>
      </c>
      <c r="I35" s="4">
        <v>185</v>
      </c>
      <c r="J35" s="4">
        <v>47</v>
      </c>
      <c r="K35" s="4">
        <v>6624</v>
      </c>
      <c r="L35" s="4">
        <v>2215</v>
      </c>
      <c r="M35" s="15">
        <v>2756</v>
      </c>
      <c r="N35" s="15">
        <v>2338</v>
      </c>
      <c r="O35" s="4">
        <v>2010</v>
      </c>
      <c r="P35" s="4">
        <v>926</v>
      </c>
      <c r="Q35" s="4">
        <v>295</v>
      </c>
      <c r="R35" s="4">
        <v>87</v>
      </c>
      <c r="S35" s="4">
        <v>10628</v>
      </c>
      <c r="T35" s="4">
        <f t="shared" ref="T35:T52" si="5">S35+K35</f>
        <v>17252</v>
      </c>
      <c r="U35" s="23">
        <f t="shared" si="1"/>
        <v>3411</v>
      </c>
      <c r="V35" s="23">
        <f t="shared" si="2"/>
        <v>5094</v>
      </c>
      <c r="W35" s="11">
        <f t="shared" si="3"/>
        <v>0.49340369393139843</v>
      </c>
      <c r="X35" s="11">
        <f t="shared" si="4"/>
        <v>0.49298632042661722</v>
      </c>
    </row>
    <row r="36" spans="1:24" ht="17.399999999999999">
      <c r="A36" s="5">
        <v>34</v>
      </c>
      <c r="B36" t="s">
        <v>43</v>
      </c>
      <c r="C36" s="31" t="s">
        <v>140</v>
      </c>
      <c r="D36" s="1">
        <v>1199</v>
      </c>
      <c r="E36" s="15">
        <v>1019</v>
      </c>
      <c r="F36" s="15">
        <v>1149</v>
      </c>
      <c r="G36" s="1">
        <v>1045</v>
      </c>
      <c r="H36" s="1">
        <v>779</v>
      </c>
      <c r="I36" s="1">
        <v>412</v>
      </c>
      <c r="J36" s="1">
        <v>195</v>
      </c>
      <c r="K36" s="1">
        <v>5798</v>
      </c>
      <c r="L36" s="1">
        <v>2255</v>
      </c>
      <c r="M36" s="15">
        <v>1777</v>
      </c>
      <c r="N36" s="15">
        <v>2083</v>
      </c>
      <c r="O36" s="1">
        <v>2096</v>
      </c>
      <c r="P36" s="1">
        <v>1316</v>
      </c>
      <c r="Q36" s="1">
        <v>812</v>
      </c>
      <c r="R36" s="1">
        <v>308</v>
      </c>
      <c r="S36" s="1">
        <v>10647</v>
      </c>
      <c r="T36" s="1">
        <f t="shared" si="5"/>
        <v>16445</v>
      </c>
      <c r="U36" s="21">
        <f t="shared" si="1"/>
        <v>2168</v>
      </c>
      <c r="V36" s="21">
        <f t="shared" si="2"/>
        <v>3860</v>
      </c>
      <c r="W36" s="9">
        <f t="shared" si="3"/>
        <v>0.78044280442804426</v>
      </c>
      <c r="X36" s="9">
        <f t="shared" si="4"/>
        <v>0.36655518394648828</v>
      </c>
    </row>
    <row r="37" spans="1:24" ht="17.399999999999999">
      <c r="A37" s="5">
        <v>35</v>
      </c>
      <c r="B37" t="s">
        <v>38</v>
      </c>
      <c r="C37" s="31" t="s">
        <v>128</v>
      </c>
      <c r="D37" s="1">
        <v>1529</v>
      </c>
      <c r="E37" s="15">
        <v>1393</v>
      </c>
      <c r="F37" s="15">
        <v>1629</v>
      </c>
      <c r="G37" s="1">
        <v>1311</v>
      </c>
      <c r="H37" s="1">
        <v>705</v>
      </c>
      <c r="I37" s="1">
        <v>401</v>
      </c>
      <c r="J37" s="1">
        <v>198</v>
      </c>
      <c r="K37" s="1">
        <v>7167</v>
      </c>
      <c r="L37" s="1">
        <v>1859</v>
      </c>
      <c r="M37" s="15">
        <v>2311</v>
      </c>
      <c r="N37" s="15">
        <v>1806</v>
      </c>
      <c r="O37" s="1">
        <v>1697</v>
      </c>
      <c r="P37" s="1">
        <v>903</v>
      </c>
      <c r="Q37" s="1">
        <v>443</v>
      </c>
      <c r="R37" s="1">
        <v>232</v>
      </c>
      <c r="S37" s="1">
        <v>9249</v>
      </c>
      <c r="T37" s="1">
        <f t="shared" si="5"/>
        <v>16416</v>
      </c>
      <c r="U37" s="21">
        <f t="shared" si="1"/>
        <v>3022</v>
      </c>
      <c r="V37" s="21">
        <f t="shared" si="2"/>
        <v>4117</v>
      </c>
      <c r="W37" s="9">
        <f t="shared" si="3"/>
        <v>0.36234281932495038</v>
      </c>
      <c r="X37" s="9">
        <f t="shared" si="4"/>
        <v>0.43488060428849901</v>
      </c>
    </row>
    <row r="38" spans="1:24" ht="17.399999999999999">
      <c r="A38" s="5">
        <v>36</v>
      </c>
      <c r="B38" s="3" t="s">
        <v>49</v>
      </c>
      <c r="C38" s="33" t="s">
        <v>139</v>
      </c>
      <c r="D38" s="4">
        <v>1156</v>
      </c>
      <c r="E38" s="15">
        <v>1668</v>
      </c>
      <c r="F38" s="15">
        <v>1273</v>
      </c>
      <c r="G38" s="4">
        <v>966</v>
      </c>
      <c r="H38" s="4">
        <v>589</v>
      </c>
      <c r="I38" s="4">
        <v>312</v>
      </c>
      <c r="J38" s="4">
        <v>169</v>
      </c>
      <c r="K38" s="4">
        <v>6133</v>
      </c>
      <c r="L38" s="4">
        <v>2048</v>
      </c>
      <c r="M38" s="15">
        <v>2722</v>
      </c>
      <c r="N38" s="15">
        <v>1923</v>
      </c>
      <c r="O38" s="4">
        <v>1751</v>
      </c>
      <c r="P38" s="4">
        <v>957</v>
      </c>
      <c r="Q38" s="4">
        <v>435</v>
      </c>
      <c r="R38" s="4">
        <v>261</v>
      </c>
      <c r="S38" s="4">
        <v>10097</v>
      </c>
      <c r="T38" s="4">
        <f t="shared" si="5"/>
        <v>16230</v>
      </c>
      <c r="U38" s="23">
        <f t="shared" si="1"/>
        <v>2941</v>
      </c>
      <c r="V38" s="23">
        <f t="shared" si="2"/>
        <v>4645</v>
      </c>
      <c r="W38" s="11">
        <f t="shared" si="3"/>
        <v>0.5793947636858211</v>
      </c>
      <c r="X38" s="11">
        <f t="shared" si="4"/>
        <v>0.46740603820086257</v>
      </c>
    </row>
    <row r="39" spans="1:24" ht="17.399999999999999">
      <c r="A39" s="5">
        <v>37</v>
      </c>
      <c r="B39" t="s">
        <v>31</v>
      </c>
      <c r="C39" s="31" t="s">
        <v>134</v>
      </c>
      <c r="D39" s="1">
        <v>511</v>
      </c>
      <c r="E39" s="15">
        <v>646</v>
      </c>
      <c r="F39" s="15">
        <v>1360</v>
      </c>
      <c r="G39" s="1">
        <v>1376</v>
      </c>
      <c r="H39" s="1">
        <v>866</v>
      </c>
      <c r="I39" s="1">
        <v>370</v>
      </c>
      <c r="J39" s="1">
        <v>61</v>
      </c>
      <c r="K39" s="1">
        <v>5190</v>
      </c>
      <c r="L39" s="1">
        <v>938</v>
      </c>
      <c r="M39" s="15">
        <v>912</v>
      </c>
      <c r="N39" s="15">
        <v>1905</v>
      </c>
      <c r="O39" s="1">
        <v>2009</v>
      </c>
      <c r="P39" s="1">
        <v>1361</v>
      </c>
      <c r="Q39" s="1">
        <v>651</v>
      </c>
      <c r="R39" s="1">
        <v>112</v>
      </c>
      <c r="S39" s="1">
        <v>7887</v>
      </c>
      <c r="T39" s="1">
        <f t="shared" si="5"/>
        <v>13077</v>
      </c>
      <c r="U39" s="21">
        <f t="shared" si="1"/>
        <v>2006</v>
      </c>
      <c r="V39" s="21">
        <f t="shared" si="2"/>
        <v>2817</v>
      </c>
      <c r="W39" s="9">
        <f t="shared" si="3"/>
        <v>0.40428713858424725</v>
      </c>
      <c r="X39" s="9">
        <f t="shared" si="4"/>
        <v>0.3688154775560144</v>
      </c>
    </row>
    <row r="40" spans="1:24" ht="17.399999999999999">
      <c r="A40" s="5">
        <v>38</v>
      </c>
      <c r="B40" t="s">
        <v>36</v>
      </c>
      <c r="C40" s="31" t="s">
        <v>131</v>
      </c>
      <c r="D40" s="1">
        <v>586</v>
      </c>
      <c r="E40" s="15">
        <v>1745</v>
      </c>
      <c r="F40" s="15">
        <v>980</v>
      </c>
      <c r="G40" s="1">
        <v>572</v>
      </c>
      <c r="H40" s="1">
        <v>390</v>
      </c>
      <c r="I40" s="1">
        <v>187</v>
      </c>
      <c r="J40" s="1">
        <v>62</v>
      </c>
      <c r="K40" s="1">
        <v>4522</v>
      </c>
      <c r="L40" s="1">
        <v>955</v>
      </c>
      <c r="M40" s="15">
        <v>2427</v>
      </c>
      <c r="N40" s="15">
        <v>1226</v>
      </c>
      <c r="O40" s="1">
        <v>719</v>
      </c>
      <c r="P40" s="1">
        <v>456</v>
      </c>
      <c r="Q40" s="1">
        <v>198</v>
      </c>
      <c r="R40" s="1">
        <v>82</v>
      </c>
      <c r="S40" s="1">
        <v>6062</v>
      </c>
      <c r="T40" s="1">
        <f t="shared" si="5"/>
        <v>10584</v>
      </c>
      <c r="U40" s="21">
        <f t="shared" si="1"/>
        <v>2725</v>
      </c>
      <c r="V40" s="21">
        <f t="shared" si="2"/>
        <v>3653</v>
      </c>
      <c r="W40" s="9">
        <f t="shared" si="3"/>
        <v>0.3405504587155963</v>
      </c>
      <c r="X40" s="9">
        <f t="shared" si="4"/>
        <v>0.60260770975056688</v>
      </c>
    </row>
    <row r="41" spans="1:24" ht="17.399999999999999">
      <c r="A41" s="5">
        <v>39</v>
      </c>
      <c r="B41" s="3" t="s">
        <v>34</v>
      </c>
      <c r="C41" s="33" t="s">
        <v>141</v>
      </c>
      <c r="D41" s="4">
        <v>649</v>
      </c>
      <c r="E41" s="15">
        <v>760</v>
      </c>
      <c r="F41" s="15">
        <v>978</v>
      </c>
      <c r="G41" s="4">
        <v>960</v>
      </c>
      <c r="H41" s="4">
        <v>727</v>
      </c>
      <c r="I41" s="4">
        <v>384</v>
      </c>
      <c r="J41" s="4">
        <v>106</v>
      </c>
      <c r="K41" s="4">
        <v>4565</v>
      </c>
      <c r="L41" s="4">
        <v>1099</v>
      </c>
      <c r="M41" s="15">
        <v>825</v>
      </c>
      <c r="N41" s="15">
        <v>931</v>
      </c>
      <c r="O41" s="4">
        <v>1049</v>
      </c>
      <c r="P41" s="4">
        <v>722</v>
      </c>
      <c r="Q41" s="4">
        <v>362</v>
      </c>
      <c r="R41" s="4">
        <v>104</v>
      </c>
      <c r="S41" s="4">
        <v>5093</v>
      </c>
      <c r="T41" s="4">
        <f t="shared" si="5"/>
        <v>9658</v>
      </c>
      <c r="U41" s="23">
        <f t="shared" si="1"/>
        <v>1738</v>
      </c>
      <c r="V41" s="23">
        <f t="shared" si="2"/>
        <v>1756</v>
      </c>
      <c r="W41" s="11">
        <f t="shared" si="3"/>
        <v>1.0356731875719217E-2</v>
      </c>
      <c r="X41" s="11">
        <f t="shared" si="4"/>
        <v>0.36177262373162145</v>
      </c>
    </row>
    <row r="42" spans="1:24" ht="17.399999999999999">
      <c r="A42" s="5">
        <v>40</v>
      </c>
      <c r="B42" s="3" t="s">
        <v>39</v>
      </c>
      <c r="C42" s="33" t="s">
        <v>128</v>
      </c>
      <c r="D42" s="4">
        <v>668</v>
      </c>
      <c r="E42" s="15">
        <v>538</v>
      </c>
      <c r="F42" s="15">
        <v>938</v>
      </c>
      <c r="G42" s="4">
        <v>931</v>
      </c>
      <c r="H42" s="4">
        <v>531</v>
      </c>
      <c r="I42" s="4">
        <v>273</v>
      </c>
      <c r="J42" s="4">
        <v>177</v>
      </c>
      <c r="K42" s="4">
        <v>4057</v>
      </c>
      <c r="L42" s="4">
        <v>1085</v>
      </c>
      <c r="M42" s="15">
        <v>864</v>
      </c>
      <c r="N42" s="15">
        <v>987</v>
      </c>
      <c r="O42" s="4">
        <v>1131</v>
      </c>
      <c r="P42" s="4">
        <v>689</v>
      </c>
      <c r="Q42" s="4">
        <v>393</v>
      </c>
      <c r="R42" s="4">
        <v>204</v>
      </c>
      <c r="S42" s="4">
        <v>5354</v>
      </c>
      <c r="T42" s="4">
        <f t="shared" si="5"/>
        <v>9411</v>
      </c>
      <c r="U42" s="23">
        <f t="shared" si="1"/>
        <v>1476</v>
      </c>
      <c r="V42" s="23">
        <f t="shared" si="2"/>
        <v>1851</v>
      </c>
      <c r="W42" s="11">
        <f t="shared" si="3"/>
        <v>0.25406504065040653</v>
      </c>
      <c r="X42" s="11">
        <f t="shared" si="4"/>
        <v>0.35352247370098822</v>
      </c>
    </row>
    <row r="43" spans="1:24" ht="17.399999999999999">
      <c r="A43" s="5">
        <v>41</v>
      </c>
      <c r="B43" s="3" t="s">
        <v>42</v>
      </c>
      <c r="C43" s="33" t="s">
        <v>131</v>
      </c>
      <c r="D43" s="4">
        <v>572</v>
      </c>
      <c r="E43" s="15">
        <v>689</v>
      </c>
      <c r="F43" s="15">
        <v>627</v>
      </c>
      <c r="G43" s="4">
        <v>558</v>
      </c>
      <c r="H43" s="4">
        <v>380</v>
      </c>
      <c r="I43" s="4">
        <v>226</v>
      </c>
      <c r="J43" s="4">
        <v>99</v>
      </c>
      <c r="K43" s="4">
        <v>3152</v>
      </c>
      <c r="L43" s="4">
        <v>765</v>
      </c>
      <c r="M43" s="15">
        <v>1170</v>
      </c>
      <c r="N43" s="15">
        <v>892</v>
      </c>
      <c r="O43" s="4">
        <v>844</v>
      </c>
      <c r="P43" s="4">
        <v>635</v>
      </c>
      <c r="Q43" s="4">
        <v>321</v>
      </c>
      <c r="R43" s="4">
        <v>167</v>
      </c>
      <c r="S43" s="4">
        <v>4793</v>
      </c>
      <c r="T43" s="4">
        <f t="shared" si="5"/>
        <v>7945</v>
      </c>
      <c r="U43" s="23">
        <f t="shared" si="1"/>
        <v>1316</v>
      </c>
      <c r="V43" s="23">
        <f t="shared" si="2"/>
        <v>2062</v>
      </c>
      <c r="W43" s="11">
        <f t="shared" si="3"/>
        <v>0.56686930091185406</v>
      </c>
      <c r="X43" s="11">
        <f t="shared" si="4"/>
        <v>0.42517306482064193</v>
      </c>
    </row>
    <row r="44" spans="1:24" ht="17.399999999999999">
      <c r="A44" s="5">
        <v>42</v>
      </c>
      <c r="B44" t="s">
        <v>14</v>
      </c>
      <c r="C44" s="31" t="s">
        <v>137</v>
      </c>
      <c r="D44" s="1">
        <v>272</v>
      </c>
      <c r="E44" s="15">
        <v>352</v>
      </c>
      <c r="F44" s="15">
        <v>423</v>
      </c>
      <c r="G44" s="1">
        <v>369</v>
      </c>
      <c r="H44" s="1">
        <v>233</v>
      </c>
      <c r="I44" s="1">
        <v>124</v>
      </c>
      <c r="J44" s="1">
        <v>55</v>
      </c>
      <c r="K44" s="1">
        <v>1827</v>
      </c>
      <c r="L44" s="1">
        <v>661</v>
      </c>
      <c r="M44" s="15">
        <v>527</v>
      </c>
      <c r="N44" s="15">
        <v>729</v>
      </c>
      <c r="O44" s="1">
        <v>741</v>
      </c>
      <c r="P44" s="1">
        <v>455</v>
      </c>
      <c r="Q44" s="1">
        <v>257</v>
      </c>
      <c r="R44" s="1">
        <v>130</v>
      </c>
      <c r="S44" s="1">
        <v>3499</v>
      </c>
      <c r="T44" s="1">
        <f t="shared" si="5"/>
        <v>5326</v>
      </c>
      <c r="U44" s="21">
        <f t="shared" si="1"/>
        <v>775</v>
      </c>
      <c r="V44" s="21">
        <f t="shared" si="2"/>
        <v>1256</v>
      </c>
      <c r="W44" s="9">
        <f t="shared" si="3"/>
        <v>0.62064516129032254</v>
      </c>
      <c r="X44" s="9">
        <f t="shared" si="4"/>
        <v>0.38133683815245961</v>
      </c>
    </row>
    <row r="45" spans="1:24" ht="17.399999999999999">
      <c r="A45" s="5">
        <v>43</v>
      </c>
      <c r="B45" s="3" t="s">
        <v>8</v>
      </c>
      <c r="C45" s="33" t="s">
        <v>141</v>
      </c>
      <c r="D45" s="4">
        <v>284</v>
      </c>
      <c r="E45" s="15">
        <v>212</v>
      </c>
      <c r="F45" s="15">
        <v>337</v>
      </c>
      <c r="G45" s="4">
        <v>450</v>
      </c>
      <c r="H45" s="4">
        <v>503</v>
      </c>
      <c r="I45" s="4">
        <v>328</v>
      </c>
      <c r="J45" s="4">
        <v>110</v>
      </c>
      <c r="K45" s="4">
        <v>2225</v>
      </c>
      <c r="L45" s="4">
        <v>292</v>
      </c>
      <c r="M45" s="15">
        <v>161</v>
      </c>
      <c r="N45" s="15">
        <v>329</v>
      </c>
      <c r="O45" s="4">
        <v>428</v>
      </c>
      <c r="P45" s="4">
        <v>470</v>
      </c>
      <c r="Q45" s="4">
        <v>304</v>
      </c>
      <c r="R45" s="4">
        <v>127</v>
      </c>
      <c r="S45" s="4">
        <v>2110</v>
      </c>
      <c r="T45" s="4">
        <f t="shared" si="5"/>
        <v>4335</v>
      </c>
      <c r="U45" s="23">
        <f t="shared" si="1"/>
        <v>549</v>
      </c>
      <c r="V45" s="23">
        <f t="shared" si="2"/>
        <v>490</v>
      </c>
      <c r="W45" s="11">
        <f t="shared" si="3"/>
        <v>-0.10746812386156648</v>
      </c>
      <c r="X45" s="11">
        <f t="shared" si="4"/>
        <v>0.23967704728950404</v>
      </c>
    </row>
    <row r="46" spans="1:24" ht="17.399999999999999">
      <c r="A46" s="5">
        <v>44</v>
      </c>
      <c r="B46" s="3" t="s">
        <v>40</v>
      </c>
      <c r="C46" s="33" t="s">
        <v>133</v>
      </c>
      <c r="D46" s="4">
        <v>352</v>
      </c>
      <c r="E46" s="15">
        <v>252</v>
      </c>
      <c r="F46" s="15">
        <v>439</v>
      </c>
      <c r="G46" s="4">
        <v>411</v>
      </c>
      <c r="H46" s="4">
        <v>244</v>
      </c>
      <c r="I46" s="4">
        <v>100</v>
      </c>
      <c r="J46" s="4">
        <v>22</v>
      </c>
      <c r="K46" s="4">
        <v>1819</v>
      </c>
      <c r="L46" s="4">
        <v>642</v>
      </c>
      <c r="M46" s="15">
        <v>311</v>
      </c>
      <c r="N46" s="15">
        <v>511</v>
      </c>
      <c r="O46" s="4">
        <v>548</v>
      </c>
      <c r="P46" s="4">
        <v>250</v>
      </c>
      <c r="Q46" s="4">
        <v>94</v>
      </c>
      <c r="R46" s="4">
        <v>26</v>
      </c>
      <c r="S46" s="4">
        <v>2381</v>
      </c>
      <c r="T46" s="4">
        <f t="shared" si="5"/>
        <v>4200</v>
      </c>
      <c r="U46" s="23">
        <f t="shared" si="1"/>
        <v>691</v>
      </c>
      <c r="V46" s="23">
        <f t="shared" si="2"/>
        <v>822</v>
      </c>
      <c r="W46" s="11">
        <f t="shared" si="3"/>
        <v>0.18958031837916064</v>
      </c>
      <c r="X46" s="11">
        <f t="shared" si="4"/>
        <v>0.36023809523809525</v>
      </c>
    </row>
    <row r="47" spans="1:24" ht="17.399999999999999">
      <c r="A47" s="5">
        <v>45</v>
      </c>
      <c r="B47" s="3" t="s">
        <v>0</v>
      </c>
      <c r="C47" s="33" t="s">
        <v>130</v>
      </c>
      <c r="D47" s="4">
        <v>307</v>
      </c>
      <c r="E47" s="15">
        <v>347</v>
      </c>
      <c r="F47" s="15">
        <v>361</v>
      </c>
      <c r="G47" s="4">
        <v>333</v>
      </c>
      <c r="H47" s="4">
        <v>222</v>
      </c>
      <c r="I47" s="4">
        <v>84</v>
      </c>
      <c r="J47" s="4">
        <v>49</v>
      </c>
      <c r="K47" s="4">
        <v>1703</v>
      </c>
      <c r="L47" s="4">
        <v>452</v>
      </c>
      <c r="M47" s="15">
        <v>506</v>
      </c>
      <c r="N47" s="15">
        <v>487</v>
      </c>
      <c r="O47" s="4">
        <v>411</v>
      </c>
      <c r="P47" s="4">
        <v>279</v>
      </c>
      <c r="Q47" s="13" t="s">
        <v>98</v>
      </c>
      <c r="R47" s="4">
        <v>41</v>
      </c>
      <c r="S47" s="4">
        <v>2269</v>
      </c>
      <c r="T47" s="4">
        <f t="shared" si="5"/>
        <v>3972</v>
      </c>
      <c r="U47" s="23">
        <f t="shared" si="1"/>
        <v>708</v>
      </c>
      <c r="V47" s="23">
        <f t="shared" si="2"/>
        <v>993</v>
      </c>
      <c r="W47" s="11">
        <f t="shared" si="3"/>
        <v>0.40254237288135591</v>
      </c>
      <c r="X47" s="11">
        <f t="shared" si="4"/>
        <v>0.42824773413897282</v>
      </c>
    </row>
    <row r="48" spans="1:24" ht="17.399999999999999">
      <c r="A48" s="5">
        <v>46</v>
      </c>
      <c r="B48" s="3" t="s">
        <v>24</v>
      </c>
      <c r="C48" s="33" t="s">
        <v>133</v>
      </c>
      <c r="D48" s="4">
        <v>97</v>
      </c>
      <c r="E48" s="15">
        <v>50</v>
      </c>
      <c r="F48" s="15">
        <v>147</v>
      </c>
      <c r="G48" s="4">
        <v>180</v>
      </c>
      <c r="H48" s="4">
        <v>161</v>
      </c>
      <c r="I48" s="4">
        <v>92</v>
      </c>
      <c r="J48" s="4">
        <v>17</v>
      </c>
      <c r="K48" s="4">
        <v>745</v>
      </c>
      <c r="L48" s="4">
        <v>99</v>
      </c>
      <c r="M48" s="15">
        <v>34</v>
      </c>
      <c r="N48" s="15">
        <v>111</v>
      </c>
      <c r="O48" s="4">
        <v>141</v>
      </c>
      <c r="P48" s="4">
        <v>131</v>
      </c>
      <c r="Q48" s="4">
        <v>71</v>
      </c>
      <c r="R48" s="4">
        <v>13</v>
      </c>
      <c r="S48" s="4">
        <v>600</v>
      </c>
      <c r="T48" s="4">
        <f t="shared" si="5"/>
        <v>1345</v>
      </c>
      <c r="U48" s="23">
        <f t="shared" si="1"/>
        <v>197</v>
      </c>
      <c r="V48" s="23">
        <f t="shared" si="2"/>
        <v>145</v>
      </c>
      <c r="W48" s="11">
        <f t="shared" si="3"/>
        <v>-0.26395939086294418</v>
      </c>
      <c r="X48" s="11">
        <f t="shared" si="4"/>
        <v>0.25427509293680295</v>
      </c>
    </row>
    <row r="49" spans="1:24" ht="17.399999999999999">
      <c r="A49" s="5">
        <v>47</v>
      </c>
      <c r="B49" t="s">
        <v>9</v>
      </c>
      <c r="C49" s="31" t="s">
        <v>141</v>
      </c>
      <c r="D49" s="1">
        <v>33</v>
      </c>
      <c r="E49" s="15">
        <v>30</v>
      </c>
      <c r="F49" s="15">
        <v>41</v>
      </c>
      <c r="G49" s="1">
        <v>56</v>
      </c>
      <c r="H49" s="1">
        <v>57</v>
      </c>
      <c r="I49" s="1">
        <v>41</v>
      </c>
      <c r="J49" s="1">
        <v>16</v>
      </c>
      <c r="K49" s="1">
        <v>274</v>
      </c>
      <c r="L49" s="1">
        <v>79</v>
      </c>
      <c r="M49" s="15">
        <v>46</v>
      </c>
      <c r="N49" s="15">
        <v>49</v>
      </c>
      <c r="O49" s="1">
        <v>71</v>
      </c>
      <c r="P49" s="1">
        <v>68</v>
      </c>
      <c r="Q49" s="1">
        <v>44</v>
      </c>
      <c r="R49" s="1">
        <v>22</v>
      </c>
      <c r="S49" s="1">
        <v>379</v>
      </c>
      <c r="T49" s="1">
        <f t="shared" si="5"/>
        <v>653</v>
      </c>
      <c r="U49" s="21">
        <f t="shared" si="1"/>
        <v>71</v>
      </c>
      <c r="V49" s="21">
        <f t="shared" si="2"/>
        <v>95</v>
      </c>
      <c r="W49" s="9">
        <f t="shared" si="3"/>
        <v>0.3380281690140845</v>
      </c>
      <c r="X49" s="9">
        <f t="shared" si="4"/>
        <v>0.25421133231240428</v>
      </c>
    </row>
    <row r="50" spans="1:24" ht="17.399999999999999">
      <c r="A50" s="5">
        <v>48</v>
      </c>
      <c r="B50" s="3" t="s">
        <v>27</v>
      </c>
      <c r="C50" s="33" t="s">
        <v>137</v>
      </c>
      <c r="D50" s="4">
        <v>35</v>
      </c>
      <c r="E50" s="15">
        <v>46</v>
      </c>
      <c r="F50" s="15">
        <v>57</v>
      </c>
      <c r="G50" s="4">
        <v>35</v>
      </c>
      <c r="H50" s="4">
        <v>25</v>
      </c>
      <c r="I50" s="4">
        <v>7</v>
      </c>
      <c r="J50" s="4">
        <v>1</v>
      </c>
      <c r="K50" s="4">
        <v>206</v>
      </c>
      <c r="L50" s="4">
        <v>66</v>
      </c>
      <c r="M50" s="15">
        <v>50</v>
      </c>
      <c r="N50" s="15">
        <v>57</v>
      </c>
      <c r="O50" s="4">
        <v>36</v>
      </c>
      <c r="P50" s="4">
        <v>18</v>
      </c>
      <c r="Q50" s="4">
        <v>3</v>
      </c>
      <c r="R50" s="4">
        <v>0</v>
      </c>
      <c r="S50" s="4">
        <v>229</v>
      </c>
      <c r="T50" s="4">
        <f t="shared" si="5"/>
        <v>435</v>
      </c>
      <c r="U50" s="23">
        <f t="shared" si="1"/>
        <v>103</v>
      </c>
      <c r="V50" s="23">
        <f t="shared" si="2"/>
        <v>107</v>
      </c>
      <c r="W50" s="11">
        <f t="shared" si="3"/>
        <v>3.8834951456310676E-2</v>
      </c>
      <c r="X50" s="11">
        <f t="shared" si="4"/>
        <v>0.48275862068965519</v>
      </c>
    </row>
    <row r="51" spans="1:24" ht="17.399999999999999">
      <c r="A51" s="5">
        <v>49</v>
      </c>
      <c r="B51" t="s">
        <v>2</v>
      </c>
      <c r="C51" s="31" t="s">
        <v>133</v>
      </c>
      <c r="D51" s="1">
        <v>16</v>
      </c>
      <c r="E51" s="15">
        <v>12</v>
      </c>
      <c r="F51" s="15">
        <v>23</v>
      </c>
      <c r="G51" s="1">
        <v>21</v>
      </c>
      <c r="H51" s="1">
        <v>11</v>
      </c>
      <c r="I51" s="1">
        <v>3</v>
      </c>
      <c r="J51" s="1">
        <v>0</v>
      </c>
      <c r="K51" s="1">
        <v>87</v>
      </c>
      <c r="L51" s="1">
        <v>93</v>
      </c>
      <c r="M51" s="15">
        <v>45</v>
      </c>
      <c r="N51" s="15">
        <v>73</v>
      </c>
      <c r="O51" s="1">
        <v>79</v>
      </c>
      <c r="P51" s="1">
        <v>35</v>
      </c>
      <c r="Q51" s="1">
        <v>13</v>
      </c>
      <c r="R51" s="1">
        <v>2</v>
      </c>
      <c r="S51" s="1">
        <v>340</v>
      </c>
      <c r="T51" s="1">
        <f t="shared" si="5"/>
        <v>427</v>
      </c>
      <c r="U51" s="21">
        <f t="shared" si="1"/>
        <v>35</v>
      </c>
      <c r="V51" s="21">
        <f t="shared" si="2"/>
        <v>118</v>
      </c>
      <c r="W51" s="9">
        <f t="shared" si="3"/>
        <v>2.3714285714285714</v>
      </c>
      <c r="X51" s="9">
        <f t="shared" si="4"/>
        <v>0.35831381733021078</v>
      </c>
    </row>
    <row r="52" spans="1:24" ht="17.399999999999999">
      <c r="A52" s="5">
        <v>50</v>
      </c>
      <c r="B52" t="s">
        <v>15</v>
      </c>
      <c r="C52" s="31" t="s">
        <v>128</v>
      </c>
      <c r="D52" s="1">
        <v>2</v>
      </c>
      <c r="E52" s="15">
        <v>0</v>
      </c>
      <c r="F52" s="15">
        <v>1</v>
      </c>
      <c r="G52" s="1">
        <v>0</v>
      </c>
      <c r="H52" s="1">
        <v>0</v>
      </c>
      <c r="I52" s="1">
        <v>0</v>
      </c>
      <c r="J52" s="1">
        <v>0</v>
      </c>
      <c r="K52" s="1">
        <v>4</v>
      </c>
      <c r="L52" s="1">
        <v>2</v>
      </c>
      <c r="M52" s="15">
        <v>2</v>
      </c>
      <c r="N52" s="15">
        <v>1</v>
      </c>
      <c r="O52" s="1">
        <v>0</v>
      </c>
      <c r="P52" s="1">
        <v>0</v>
      </c>
      <c r="Q52" s="1">
        <v>0</v>
      </c>
      <c r="R52" s="1">
        <v>0</v>
      </c>
      <c r="S52" s="1">
        <v>4</v>
      </c>
      <c r="T52" s="1">
        <f t="shared" si="5"/>
        <v>8</v>
      </c>
      <c r="U52" s="21">
        <f t="shared" si="1"/>
        <v>1</v>
      </c>
      <c r="V52" s="21">
        <f t="shared" si="2"/>
        <v>3</v>
      </c>
      <c r="W52" s="9">
        <f t="shared" si="3"/>
        <v>2</v>
      </c>
      <c r="X52" s="9">
        <f t="shared" si="4"/>
        <v>0.5</v>
      </c>
    </row>
  </sheetData>
  <sortState xmlns:xlrd2="http://schemas.microsoft.com/office/spreadsheetml/2017/richdata2" ref="B3:T52">
    <sortCondition descending="1" ref="T3:T52"/>
  </sortState>
  <mergeCells count="5">
    <mergeCell ref="D1:K1"/>
    <mergeCell ref="L1:S1"/>
    <mergeCell ref="U2:V2"/>
    <mergeCell ref="W1:W2"/>
    <mergeCell ref="X1:X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3C6B-3517-4D82-9D05-0A69AA0ED2AA}">
  <dimension ref="A1:T52"/>
  <sheetViews>
    <sheetView workbookViewId="0">
      <selection activeCell="B2" sqref="B2"/>
    </sheetView>
  </sheetViews>
  <sheetFormatPr defaultRowHeight="14.4"/>
  <cols>
    <col min="1" max="1" width="5.33203125" bestFit="1" customWidth="1"/>
    <col min="2" max="2" width="23.33203125" bestFit="1" customWidth="1"/>
    <col min="3" max="7" width="8" bestFit="1" customWidth="1"/>
    <col min="8" max="17" width="9" bestFit="1" customWidth="1"/>
    <col min="18" max="18" width="10.5546875" bestFit="1" customWidth="1"/>
    <col min="19" max="19" width="18.44140625" bestFit="1" customWidth="1"/>
    <col min="20" max="20" width="17.33203125" bestFit="1" customWidth="1"/>
  </cols>
  <sheetData>
    <row r="1" spans="1:20">
      <c r="B1" s="7"/>
      <c r="C1" s="26" t="s">
        <v>111</v>
      </c>
      <c r="D1" s="26"/>
      <c r="E1" s="26"/>
      <c r="F1" s="26"/>
      <c r="G1" s="26"/>
      <c r="H1" s="26"/>
      <c r="I1" s="26"/>
      <c r="J1" s="26"/>
      <c r="K1" s="26" t="s">
        <v>84</v>
      </c>
      <c r="L1" s="26"/>
      <c r="M1" s="26"/>
      <c r="N1" s="26"/>
      <c r="O1" s="26"/>
      <c r="P1" s="26"/>
      <c r="Q1" s="26"/>
      <c r="R1" s="26"/>
      <c r="S1" s="7" t="s">
        <v>101</v>
      </c>
    </row>
    <row r="2" spans="1:20" ht="17.399999999999999">
      <c r="A2" s="7" t="s">
        <v>51</v>
      </c>
      <c r="B2" s="7" t="s">
        <v>50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63</v>
      </c>
      <c r="K2" s="7" t="s">
        <v>104</v>
      </c>
      <c r="L2" s="7" t="s">
        <v>105</v>
      </c>
      <c r="M2" s="7" t="s">
        <v>106</v>
      </c>
      <c r="N2" s="7" t="s">
        <v>107</v>
      </c>
      <c r="O2" s="7" t="s">
        <v>108</v>
      </c>
      <c r="P2" s="7" t="s">
        <v>109</v>
      </c>
      <c r="Q2" s="7" t="s">
        <v>110</v>
      </c>
      <c r="R2" s="7" t="s">
        <v>63</v>
      </c>
      <c r="S2" s="7" t="s">
        <v>112</v>
      </c>
      <c r="T2" s="14" t="s">
        <v>113</v>
      </c>
    </row>
    <row r="3" spans="1:20">
      <c r="A3" s="5">
        <v>1</v>
      </c>
      <c r="B3" t="s">
        <v>1</v>
      </c>
      <c r="C3" s="1">
        <v>85434</v>
      </c>
      <c r="D3" s="1">
        <v>72474</v>
      </c>
      <c r="E3" s="1">
        <v>72242</v>
      </c>
      <c r="F3" s="1">
        <v>70968</v>
      </c>
      <c r="G3" s="1">
        <v>80150</v>
      </c>
      <c r="H3" s="1">
        <v>122077</v>
      </c>
      <c r="I3" s="1">
        <v>112107</v>
      </c>
      <c r="J3" s="1">
        <v>615452</v>
      </c>
      <c r="K3" s="1">
        <v>139599</v>
      </c>
      <c r="L3" s="1">
        <v>114993</v>
      </c>
      <c r="M3" s="1">
        <v>112241</v>
      </c>
      <c r="N3" s="1">
        <v>132577</v>
      </c>
      <c r="O3" s="1">
        <v>159223</v>
      </c>
      <c r="P3" s="1">
        <v>239471</v>
      </c>
      <c r="Q3" s="1">
        <v>227962</v>
      </c>
      <c r="R3" s="1">
        <v>1126067</v>
      </c>
      <c r="S3" s="1">
        <f t="shared" ref="S3:S34" si="0">R3+J3</f>
        <v>1741519</v>
      </c>
      <c r="T3" s="9">
        <f>SUM(H3:I3,P3:Q3)/S3</f>
        <v>0.40287645440560799</v>
      </c>
    </row>
    <row r="4" spans="1:20">
      <c r="A4" s="5">
        <v>2</v>
      </c>
      <c r="B4" s="3" t="s">
        <v>33</v>
      </c>
      <c r="C4" s="4">
        <v>72654</v>
      </c>
      <c r="D4" s="4">
        <v>58395</v>
      </c>
      <c r="E4" s="4">
        <v>55486</v>
      </c>
      <c r="F4" s="4">
        <v>57239</v>
      </c>
      <c r="G4" s="4">
        <v>63001</v>
      </c>
      <c r="H4" s="4">
        <v>90652</v>
      </c>
      <c r="I4" s="4">
        <v>99087</v>
      </c>
      <c r="J4" s="4">
        <v>496516</v>
      </c>
      <c r="K4" s="4">
        <v>129085</v>
      </c>
      <c r="L4" s="4">
        <v>106735</v>
      </c>
      <c r="M4" s="4">
        <v>103225</v>
      </c>
      <c r="N4" s="4">
        <v>124124</v>
      </c>
      <c r="O4" s="4">
        <v>144286</v>
      </c>
      <c r="P4" s="4">
        <v>184174</v>
      </c>
      <c r="Q4" s="4">
        <v>190992</v>
      </c>
      <c r="R4" s="4">
        <v>982619</v>
      </c>
      <c r="S4" s="4">
        <f t="shared" si="0"/>
        <v>1479135</v>
      </c>
      <c r="T4" s="11">
        <f t="shared" ref="T4:T52" si="1">SUM(H4:I4,P4:Q4)/S4</f>
        <v>0.38191578185899189</v>
      </c>
    </row>
    <row r="5" spans="1:20">
      <c r="A5" s="5">
        <v>3</v>
      </c>
      <c r="B5" t="s">
        <v>17</v>
      </c>
      <c r="C5" s="1">
        <v>65144</v>
      </c>
      <c r="D5" s="1">
        <v>51836</v>
      </c>
      <c r="E5" s="1">
        <v>48919</v>
      </c>
      <c r="F5" s="1">
        <v>50779</v>
      </c>
      <c r="G5" s="1">
        <v>56004</v>
      </c>
      <c r="H5" s="1">
        <v>80666</v>
      </c>
      <c r="I5" s="1">
        <v>88505</v>
      </c>
      <c r="J5" s="1">
        <v>441853</v>
      </c>
      <c r="K5" s="1">
        <v>105114</v>
      </c>
      <c r="L5" s="1">
        <v>87110</v>
      </c>
      <c r="M5" s="1">
        <v>84519</v>
      </c>
      <c r="N5" s="1">
        <v>103078</v>
      </c>
      <c r="O5" s="1">
        <v>120177</v>
      </c>
      <c r="P5" s="1">
        <v>151613</v>
      </c>
      <c r="Q5" s="1">
        <v>156308</v>
      </c>
      <c r="R5" s="1">
        <v>807918</v>
      </c>
      <c r="S5" s="1">
        <f t="shared" si="0"/>
        <v>1249771</v>
      </c>
      <c r="T5" s="9">
        <f t="shared" si="1"/>
        <v>0.38174353541568817</v>
      </c>
    </row>
    <row r="6" spans="1:20">
      <c r="A6" s="5">
        <v>4</v>
      </c>
      <c r="B6" t="s">
        <v>23</v>
      </c>
      <c r="C6" s="1">
        <v>41468</v>
      </c>
      <c r="D6" s="1">
        <v>35761</v>
      </c>
      <c r="E6" s="1">
        <v>38202</v>
      </c>
      <c r="F6" s="1">
        <v>39125</v>
      </c>
      <c r="G6" s="1">
        <v>41640</v>
      </c>
      <c r="H6" s="1">
        <v>69628</v>
      </c>
      <c r="I6" s="1">
        <v>69326</v>
      </c>
      <c r="J6" s="1">
        <v>335151</v>
      </c>
      <c r="K6" s="1">
        <v>77661</v>
      </c>
      <c r="L6" s="1">
        <v>63127</v>
      </c>
      <c r="M6" s="1">
        <v>60587</v>
      </c>
      <c r="N6" s="1">
        <v>79731</v>
      </c>
      <c r="O6" s="1">
        <v>98347</v>
      </c>
      <c r="P6" s="1">
        <v>139664</v>
      </c>
      <c r="Q6" s="1">
        <v>133695</v>
      </c>
      <c r="R6" s="1">
        <v>652813</v>
      </c>
      <c r="S6" s="1">
        <f t="shared" si="0"/>
        <v>987964</v>
      </c>
      <c r="T6" s="9">
        <f t="shared" si="1"/>
        <v>0.41733605677939684</v>
      </c>
    </row>
    <row r="7" spans="1:20">
      <c r="A7" s="5">
        <v>5</v>
      </c>
      <c r="B7" t="s">
        <v>16</v>
      </c>
      <c r="C7" s="1">
        <v>31275</v>
      </c>
      <c r="D7" s="1">
        <v>25275</v>
      </c>
      <c r="E7" s="1">
        <v>25098</v>
      </c>
      <c r="F7" s="1">
        <v>25060</v>
      </c>
      <c r="G7" s="1">
        <v>29052</v>
      </c>
      <c r="H7" s="1">
        <v>42510</v>
      </c>
      <c r="I7" s="1">
        <v>43806</v>
      </c>
      <c r="J7" s="1">
        <v>222077</v>
      </c>
      <c r="K7" s="1">
        <v>58101</v>
      </c>
      <c r="L7" s="1">
        <v>48918</v>
      </c>
      <c r="M7" s="1">
        <v>47632</v>
      </c>
      <c r="N7" s="1">
        <v>56096</v>
      </c>
      <c r="O7" s="1">
        <v>65829</v>
      </c>
      <c r="P7" s="1">
        <v>100172</v>
      </c>
      <c r="Q7" s="1">
        <v>94873</v>
      </c>
      <c r="R7" s="1">
        <v>471620</v>
      </c>
      <c r="S7" s="1">
        <f t="shared" si="0"/>
        <v>693697</v>
      </c>
      <c r="T7" s="9">
        <f t="shared" si="1"/>
        <v>0.405596391508108</v>
      </c>
    </row>
    <row r="8" spans="1:20">
      <c r="A8" s="5">
        <v>6</v>
      </c>
      <c r="B8" t="s">
        <v>21</v>
      </c>
      <c r="C8" s="1">
        <v>20953</v>
      </c>
      <c r="D8" s="1">
        <v>15962</v>
      </c>
      <c r="E8" s="1">
        <v>16109</v>
      </c>
      <c r="F8" s="1">
        <v>16184</v>
      </c>
      <c r="G8" s="1">
        <v>17926</v>
      </c>
      <c r="H8" s="1">
        <v>31282</v>
      </c>
      <c r="I8" s="1">
        <v>31942</v>
      </c>
      <c r="J8" s="1">
        <v>150357</v>
      </c>
      <c r="K8" s="1">
        <v>48024</v>
      </c>
      <c r="L8" s="1">
        <v>37012</v>
      </c>
      <c r="M8" s="1">
        <v>35547</v>
      </c>
      <c r="N8" s="1">
        <v>43329</v>
      </c>
      <c r="O8" s="1">
        <v>51890</v>
      </c>
      <c r="P8" s="1">
        <v>80973</v>
      </c>
      <c r="Q8" s="1">
        <v>84010</v>
      </c>
      <c r="R8" s="1">
        <v>380785</v>
      </c>
      <c r="S8" s="1">
        <f t="shared" si="0"/>
        <v>531142</v>
      </c>
      <c r="T8" s="9">
        <f t="shared" si="1"/>
        <v>0.42965346366884938</v>
      </c>
    </row>
    <row r="9" spans="1:20">
      <c r="A9" s="5">
        <v>7</v>
      </c>
      <c r="B9" s="3" t="s">
        <v>26</v>
      </c>
      <c r="C9" s="4">
        <v>14363</v>
      </c>
      <c r="D9" s="4">
        <v>11475</v>
      </c>
      <c r="E9" s="4">
        <v>12438</v>
      </c>
      <c r="F9" s="4">
        <v>10877</v>
      </c>
      <c r="G9" s="4">
        <v>12333</v>
      </c>
      <c r="H9" s="4">
        <v>21534</v>
      </c>
      <c r="I9" s="4">
        <v>24506</v>
      </c>
      <c r="J9" s="4">
        <v>107525</v>
      </c>
      <c r="K9" s="4">
        <v>27503</v>
      </c>
      <c r="L9" s="4">
        <v>21395</v>
      </c>
      <c r="M9" s="4">
        <v>20925</v>
      </c>
      <c r="N9" s="4">
        <v>26053</v>
      </c>
      <c r="O9" s="4">
        <v>30097</v>
      </c>
      <c r="P9" s="4">
        <v>42939</v>
      </c>
      <c r="Q9" s="4">
        <v>49365</v>
      </c>
      <c r="R9" s="4">
        <v>218277</v>
      </c>
      <c r="S9" s="4">
        <f t="shared" si="0"/>
        <v>325802</v>
      </c>
      <c r="T9" s="11">
        <f t="shared" si="1"/>
        <v>0.42462599984039384</v>
      </c>
    </row>
    <row r="10" spans="1:20">
      <c r="A10" s="5">
        <v>8</v>
      </c>
      <c r="B10" s="3" t="s">
        <v>7</v>
      </c>
      <c r="C10" s="4">
        <v>13794</v>
      </c>
      <c r="D10" s="4">
        <v>12480</v>
      </c>
      <c r="E10" s="4">
        <v>13569</v>
      </c>
      <c r="F10" s="4">
        <v>12220</v>
      </c>
      <c r="G10" s="4">
        <v>13548</v>
      </c>
      <c r="H10" s="4">
        <v>20389</v>
      </c>
      <c r="I10" s="4">
        <v>21481</v>
      </c>
      <c r="J10" s="4">
        <v>107481</v>
      </c>
      <c r="K10" s="4">
        <v>14000</v>
      </c>
      <c r="L10" s="4">
        <v>11158</v>
      </c>
      <c r="M10" s="4">
        <v>11386</v>
      </c>
      <c r="N10" s="4">
        <v>13263</v>
      </c>
      <c r="O10" s="4">
        <v>13831</v>
      </c>
      <c r="P10" s="4">
        <v>23168</v>
      </c>
      <c r="Q10" s="4">
        <v>24946</v>
      </c>
      <c r="R10" s="4">
        <v>111752</v>
      </c>
      <c r="S10" s="4">
        <f t="shared" si="0"/>
        <v>219233</v>
      </c>
      <c r="T10" s="11">
        <f t="shared" si="1"/>
        <v>0.41044915683314098</v>
      </c>
    </row>
    <row r="11" spans="1:20">
      <c r="A11" s="5">
        <v>9</v>
      </c>
      <c r="B11" s="3" t="s">
        <v>29</v>
      </c>
      <c r="C11" s="4">
        <v>10125</v>
      </c>
      <c r="D11" s="4">
        <v>8381</v>
      </c>
      <c r="E11" s="4">
        <v>9567</v>
      </c>
      <c r="F11" s="4">
        <v>8007</v>
      </c>
      <c r="G11" s="4">
        <v>9107</v>
      </c>
      <c r="H11" s="4">
        <v>16096</v>
      </c>
      <c r="I11" s="4">
        <v>17807</v>
      </c>
      <c r="J11" s="4">
        <v>79091</v>
      </c>
      <c r="K11" s="4">
        <v>11879</v>
      </c>
      <c r="L11" s="4">
        <v>9318</v>
      </c>
      <c r="M11" s="4">
        <v>9128</v>
      </c>
      <c r="N11" s="4">
        <v>11874</v>
      </c>
      <c r="O11" s="4">
        <v>13815</v>
      </c>
      <c r="P11" s="4">
        <v>19456</v>
      </c>
      <c r="Q11" s="4">
        <v>22059</v>
      </c>
      <c r="R11" s="4">
        <v>97529</v>
      </c>
      <c r="S11" s="4">
        <f t="shared" si="0"/>
        <v>176620</v>
      </c>
      <c r="T11" s="11">
        <f t="shared" si="1"/>
        <v>0.42700713395991396</v>
      </c>
    </row>
    <row r="12" spans="1:20">
      <c r="A12" s="5">
        <v>10</v>
      </c>
      <c r="B12" t="s">
        <v>13</v>
      </c>
      <c r="C12" s="1">
        <v>8682</v>
      </c>
      <c r="D12" s="1">
        <v>7074</v>
      </c>
      <c r="E12" s="1">
        <v>6754</v>
      </c>
      <c r="F12" s="1">
        <v>6663</v>
      </c>
      <c r="G12" s="1">
        <v>7237</v>
      </c>
      <c r="H12" s="1">
        <v>10988</v>
      </c>
      <c r="I12" s="1">
        <v>12376</v>
      </c>
      <c r="J12" s="1">
        <v>59776</v>
      </c>
      <c r="K12" s="1">
        <v>13452</v>
      </c>
      <c r="L12" s="1">
        <v>11137</v>
      </c>
      <c r="M12" s="1">
        <v>10823</v>
      </c>
      <c r="N12" s="1">
        <v>13662</v>
      </c>
      <c r="O12" s="1">
        <v>16253</v>
      </c>
      <c r="P12" s="1">
        <v>21199</v>
      </c>
      <c r="Q12" s="1">
        <v>20944</v>
      </c>
      <c r="R12" s="1">
        <v>107471</v>
      </c>
      <c r="S12" s="1">
        <f t="shared" si="0"/>
        <v>167247</v>
      </c>
      <c r="T12" s="9">
        <f t="shared" si="1"/>
        <v>0.39167817658911669</v>
      </c>
    </row>
    <row r="13" spans="1:20">
      <c r="A13" s="5">
        <v>11</v>
      </c>
      <c r="B13" t="s">
        <v>5</v>
      </c>
      <c r="C13" s="1">
        <v>5198</v>
      </c>
      <c r="D13" s="1">
        <v>4100</v>
      </c>
      <c r="E13" s="1">
        <v>4679</v>
      </c>
      <c r="F13" s="1">
        <v>3929</v>
      </c>
      <c r="G13" s="1">
        <v>4611</v>
      </c>
      <c r="H13" s="1">
        <v>8394</v>
      </c>
      <c r="I13" s="1">
        <v>9303</v>
      </c>
      <c r="J13" s="1">
        <v>40215</v>
      </c>
      <c r="K13" s="1">
        <v>11151</v>
      </c>
      <c r="L13" s="1">
        <v>8556</v>
      </c>
      <c r="M13" s="1">
        <v>8276</v>
      </c>
      <c r="N13" s="1">
        <v>9907</v>
      </c>
      <c r="O13" s="1">
        <v>11704</v>
      </c>
      <c r="P13" s="1">
        <v>19252</v>
      </c>
      <c r="Q13" s="1">
        <v>21196</v>
      </c>
      <c r="R13" s="1">
        <v>90042</v>
      </c>
      <c r="S13" s="1">
        <f t="shared" si="0"/>
        <v>130257</v>
      </c>
      <c r="T13" s="9">
        <f t="shared" si="1"/>
        <v>0.44638675848514858</v>
      </c>
    </row>
    <row r="14" spans="1:20">
      <c r="A14" s="5">
        <v>12</v>
      </c>
      <c r="B14" t="s">
        <v>22</v>
      </c>
      <c r="C14" s="1">
        <v>5765</v>
      </c>
      <c r="D14" s="1">
        <v>4884</v>
      </c>
      <c r="E14" s="1">
        <v>4774</v>
      </c>
      <c r="F14" s="1">
        <v>4823</v>
      </c>
      <c r="G14" s="1">
        <v>5293</v>
      </c>
      <c r="H14" s="1">
        <v>7527</v>
      </c>
      <c r="I14" s="1">
        <v>8074</v>
      </c>
      <c r="J14" s="1">
        <v>41139</v>
      </c>
      <c r="K14" s="1">
        <v>7929</v>
      </c>
      <c r="L14" s="1">
        <v>6569</v>
      </c>
      <c r="M14" s="1">
        <v>6463</v>
      </c>
      <c r="N14" s="1">
        <v>8141</v>
      </c>
      <c r="O14" s="1">
        <v>9141</v>
      </c>
      <c r="P14" s="1">
        <v>11876</v>
      </c>
      <c r="Q14" s="1">
        <v>12044</v>
      </c>
      <c r="R14" s="1">
        <v>62162</v>
      </c>
      <c r="S14" s="1">
        <f t="shared" si="0"/>
        <v>103301</v>
      </c>
      <c r="T14" s="9">
        <f t="shared" si="1"/>
        <v>0.38258100115197335</v>
      </c>
    </row>
    <row r="15" spans="1:20">
      <c r="A15" s="5">
        <v>13</v>
      </c>
      <c r="B15" t="s">
        <v>48</v>
      </c>
      <c r="C15" s="1">
        <v>3969</v>
      </c>
      <c r="D15" s="1">
        <v>3036</v>
      </c>
      <c r="E15" s="1">
        <v>3120</v>
      </c>
      <c r="F15" s="1">
        <v>3148</v>
      </c>
      <c r="G15" s="1">
        <v>3448</v>
      </c>
      <c r="H15" s="1">
        <v>5901</v>
      </c>
      <c r="I15" s="1">
        <v>5984</v>
      </c>
      <c r="J15" s="1">
        <v>28606</v>
      </c>
      <c r="K15" s="1">
        <v>9164</v>
      </c>
      <c r="L15" s="1">
        <v>7046</v>
      </c>
      <c r="M15" s="1">
        <v>6852</v>
      </c>
      <c r="N15" s="1">
        <v>8371</v>
      </c>
      <c r="O15" s="1">
        <v>10034</v>
      </c>
      <c r="P15" s="1">
        <v>15488</v>
      </c>
      <c r="Q15" s="1">
        <v>15959</v>
      </c>
      <c r="R15" s="1">
        <v>72913</v>
      </c>
      <c r="S15" s="1">
        <f t="shared" si="0"/>
        <v>101519</v>
      </c>
      <c r="T15" s="9">
        <f t="shared" si="1"/>
        <v>0.42683635575606538</v>
      </c>
    </row>
    <row r="16" spans="1:20">
      <c r="A16" s="5">
        <v>14</v>
      </c>
      <c r="B16" s="3" t="s">
        <v>44</v>
      </c>
      <c r="C16" s="4">
        <v>5724</v>
      </c>
      <c r="D16" s="4">
        <v>5455</v>
      </c>
      <c r="E16" s="4">
        <v>5478</v>
      </c>
      <c r="F16" s="4">
        <v>5252</v>
      </c>
      <c r="G16" s="4">
        <v>6057</v>
      </c>
      <c r="H16" s="4">
        <v>7055</v>
      </c>
      <c r="I16" s="4">
        <v>6878</v>
      </c>
      <c r="J16" s="4">
        <v>41899</v>
      </c>
      <c r="K16" s="4">
        <v>6097</v>
      </c>
      <c r="L16" s="4">
        <v>5407</v>
      </c>
      <c r="M16" s="4">
        <v>5718</v>
      </c>
      <c r="N16" s="4">
        <v>6209</v>
      </c>
      <c r="O16" s="4">
        <v>7235</v>
      </c>
      <c r="P16" s="4">
        <v>9696</v>
      </c>
      <c r="Q16" s="4">
        <v>9310</v>
      </c>
      <c r="R16" s="4">
        <v>49673</v>
      </c>
      <c r="S16" s="4">
        <f t="shared" si="0"/>
        <v>91572</v>
      </c>
      <c r="T16" s="11">
        <f t="shared" si="1"/>
        <v>0.35970602367535925</v>
      </c>
    </row>
    <row r="17" spans="1:20">
      <c r="A17" s="5">
        <v>15</v>
      </c>
      <c r="B17" t="s">
        <v>3</v>
      </c>
      <c r="C17" s="1">
        <v>4647</v>
      </c>
      <c r="D17" s="1">
        <v>3871</v>
      </c>
      <c r="E17" s="1">
        <v>3835</v>
      </c>
      <c r="F17" s="1">
        <v>3779</v>
      </c>
      <c r="G17" s="1">
        <v>4118</v>
      </c>
      <c r="H17" s="1">
        <v>5830</v>
      </c>
      <c r="I17" s="1">
        <v>6409</v>
      </c>
      <c r="J17" s="1">
        <v>32489</v>
      </c>
      <c r="K17" s="1">
        <v>6878</v>
      </c>
      <c r="L17" s="1">
        <v>5861</v>
      </c>
      <c r="M17" s="1">
        <v>5793</v>
      </c>
      <c r="N17" s="1">
        <v>6672</v>
      </c>
      <c r="O17" s="1">
        <v>7736</v>
      </c>
      <c r="P17" s="1">
        <v>11107</v>
      </c>
      <c r="Q17" s="1">
        <v>12036</v>
      </c>
      <c r="R17" s="1">
        <v>56083</v>
      </c>
      <c r="S17" s="1">
        <f t="shared" si="0"/>
        <v>88572</v>
      </c>
      <c r="T17" s="9">
        <f t="shared" si="1"/>
        <v>0.39947161631215283</v>
      </c>
    </row>
    <row r="18" spans="1:20">
      <c r="A18" s="5">
        <v>16</v>
      </c>
      <c r="B18" s="3" t="s">
        <v>18</v>
      </c>
      <c r="C18" s="4">
        <v>3488</v>
      </c>
      <c r="D18" s="4">
        <v>3114</v>
      </c>
      <c r="E18" s="4">
        <v>3077</v>
      </c>
      <c r="F18" s="4">
        <v>3048</v>
      </c>
      <c r="G18" s="4">
        <v>3639</v>
      </c>
      <c r="H18" s="4">
        <v>5290</v>
      </c>
      <c r="I18" s="4">
        <v>5365</v>
      </c>
      <c r="J18" s="4">
        <v>27021</v>
      </c>
      <c r="K18" s="4">
        <v>7023</v>
      </c>
      <c r="L18" s="4">
        <v>5608</v>
      </c>
      <c r="M18" s="4">
        <v>5815</v>
      </c>
      <c r="N18" s="4">
        <v>6745</v>
      </c>
      <c r="O18" s="4">
        <v>8411</v>
      </c>
      <c r="P18" s="4">
        <v>10961</v>
      </c>
      <c r="Q18" s="4">
        <v>11685</v>
      </c>
      <c r="R18" s="4">
        <v>56248</v>
      </c>
      <c r="S18" s="4">
        <f t="shared" si="0"/>
        <v>83269</v>
      </c>
      <c r="T18" s="11">
        <f t="shared" si="1"/>
        <v>0.39992073881036161</v>
      </c>
    </row>
    <row r="19" spans="1:20">
      <c r="A19" s="5">
        <v>17</v>
      </c>
      <c r="B19" t="s">
        <v>4</v>
      </c>
      <c r="C19" s="1">
        <v>3544</v>
      </c>
      <c r="D19" s="1">
        <v>2773</v>
      </c>
      <c r="E19" s="1">
        <v>2603</v>
      </c>
      <c r="F19" s="1">
        <v>2540</v>
      </c>
      <c r="G19" s="1">
        <v>2993</v>
      </c>
      <c r="H19" s="1">
        <v>4919</v>
      </c>
      <c r="I19" s="1">
        <v>5793</v>
      </c>
      <c r="J19" s="1">
        <v>25165</v>
      </c>
      <c r="K19" s="1">
        <v>6319</v>
      </c>
      <c r="L19" s="1">
        <v>5018</v>
      </c>
      <c r="M19" s="1">
        <v>4639</v>
      </c>
      <c r="N19" s="1">
        <v>5665</v>
      </c>
      <c r="O19" s="1">
        <v>6998</v>
      </c>
      <c r="P19" s="1">
        <v>9846</v>
      </c>
      <c r="Q19" s="1">
        <v>11205</v>
      </c>
      <c r="R19" s="1">
        <v>49691</v>
      </c>
      <c r="S19" s="1">
        <f t="shared" si="0"/>
        <v>74856</v>
      </c>
      <c r="T19" s="9">
        <f t="shared" si="1"/>
        <v>0.42432136368494178</v>
      </c>
    </row>
    <row r="20" spans="1:20">
      <c r="A20" s="5">
        <v>18</v>
      </c>
      <c r="B20" t="s">
        <v>41</v>
      </c>
      <c r="C20" s="1">
        <v>4026</v>
      </c>
      <c r="D20" s="1">
        <v>3453</v>
      </c>
      <c r="E20" s="1">
        <v>3591</v>
      </c>
      <c r="F20" s="1">
        <v>3306</v>
      </c>
      <c r="G20" s="1">
        <v>3856</v>
      </c>
      <c r="H20" s="1">
        <v>6520</v>
      </c>
      <c r="I20" s="1">
        <v>6085</v>
      </c>
      <c r="J20" s="1">
        <v>30837</v>
      </c>
      <c r="K20" s="1">
        <v>5058</v>
      </c>
      <c r="L20" s="1">
        <v>4086</v>
      </c>
      <c r="M20" s="1">
        <v>4065</v>
      </c>
      <c r="N20" s="1">
        <v>5030</v>
      </c>
      <c r="O20" s="1">
        <v>5757</v>
      </c>
      <c r="P20" s="1">
        <v>9353</v>
      </c>
      <c r="Q20" s="1">
        <v>8400</v>
      </c>
      <c r="R20" s="1">
        <v>41749</v>
      </c>
      <c r="S20" s="1">
        <f t="shared" si="0"/>
        <v>72586</v>
      </c>
      <c r="T20" s="9">
        <f t="shared" si="1"/>
        <v>0.41823492133469264</v>
      </c>
    </row>
    <row r="21" spans="1:20">
      <c r="A21" s="5">
        <v>19</v>
      </c>
      <c r="B21" t="s">
        <v>30</v>
      </c>
      <c r="C21" s="1">
        <v>3277</v>
      </c>
      <c r="D21" s="1">
        <v>2413</v>
      </c>
      <c r="E21" s="1">
        <v>2379</v>
      </c>
      <c r="F21" s="1">
        <v>2481</v>
      </c>
      <c r="G21" s="1">
        <v>2875</v>
      </c>
      <c r="H21" s="1">
        <v>4659</v>
      </c>
      <c r="I21" s="1">
        <v>4926</v>
      </c>
      <c r="J21" s="1">
        <v>23010</v>
      </c>
      <c r="K21" s="1">
        <v>5658</v>
      </c>
      <c r="L21" s="1">
        <v>4313</v>
      </c>
      <c r="M21" s="1">
        <v>4214</v>
      </c>
      <c r="N21" s="1">
        <v>5358</v>
      </c>
      <c r="O21" s="1">
        <v>6393</v>
      </c>
      <c r="P21" s="1">
        <v>9011</v>
      </c>
      <c r="Q21" s="1">
        <v>9282</v>
      </c>
      <c r="R21" s="1">
        <v>44228</v>
      </c>
      <c r="S21" s="1">
        <f t="shared" si="0"/>
        <v>67238</v>
      </c>
      <c r="T21" s="9">
        <f t="shared" si="1"/>
        <v>0.4146167345846099</v>
      </c>
    </row>
    <row r="22" spans="1:20">
      <c r="A22" s="5">
        <v>20</v>
      </c>
      <c r="B22" t="s">
        <v>10</v>
      </c>
      <c r="C22" s="1">
        <v>3015</v>
      </c>
      <c r="D22" s="1">
        <v>2769</v>
      </c>
      <c r="E22" s="1">
        <v>2822</v>
      </c>
      <c r="F22" s="1">
        <v>2630</v>
      </c>
      <c r="G22" s="1">
        <v>3208</v>
      </c>
      <c r="H22" s="1">
        <v>4991</v>
      </c>
      <c r="I22" s="1">
        <v>4953</v>
      </c>
      <c r="J22" s="1">
        <v>24388</v>
      </c>
      <c r="K22" s="1">
        <v>4375</v>
      </c>
      <c r="L22" s="1">
        <v>3535</v>
      </c>
      <c r="M22" s="1">
        <v>3599</v>
      </c>
      <c r="N22" s="1">
        <v>3913</v>
      </c>
      <c r="O22" s="1">
        <v>4999</v>
      </c>
      <c r="P22" s="1">
        <v>8049</v>
      </c>
      <c r="Q22" s="1">
        <v>8333</v>
      </c>
      <c r="R22" s="1">
        <v>36802</v>
      </c>
      <c r="S22" s="1">
        <f t="shared" si="0"/>
        <v>61190</v>
      </c>
      <c r="T22" s="9">
        <f t="shared" si="1"/>
        <v>0.43023369831671843</v>
      </c>
    </row>
    <row r="23" spans="1:20">
      <c r="A23" s="5">
        <v>21</v>
      </c>
      <c r="B23" t="s">
        <v>6</v>
      </c>
      <c r="C23" s="1">
        <v>3324</v>
      </c>
      <c r="D23" s="1">
        <v>2990</v>
      </c>
      <c r="E23" s="1">
        <v>3535</v>
      </c>
      <c r="F23" s="1">
        <v>3032</v>
      </c>
      <c r="G23" s="1">
        <v>3164</v>
      </c>
      <c r="H23" s="1">
        <v>4608</v>
      </c>
      <c r="I23" s="1">
        <v>4997</v>
      </c>
      <c r="J23" s="1">
        <v>25651</v>
      </c>
      <c r="K23" s="1">
        <v>3297</v>
      </c>
      <c r="L23" s="1">
        <v>2874</v>
      </c>
      <c r="M23" s="1">
        <v>2991</v>
      </c>
      <c r="N23" s="1">
        <v>3305</v>
      </c>
      <c r="O23" s="1">
        <v>3401</v>
      </c>
      <c r="P23" s="1">
        <v>5293</v>
      </c>
      <c r="Q23" s="1">
        <v>5725</v>
      </c>
      <c r="R23" s="1">
        <v>26887</v>
      </c>
      <c r="S23" s="1">
        <f t="shared" si="0"/>
        <v>52538</v>
      </c>
      <c r="T23" s="9">
        <f t="shared" si="1"/>
        <v>0.39253492710038446</v>
      </c>
    </row>
    <row r="24" spans="1:20">
      <c r="A24" s="5">
        <v>22</v>
      </c>
      <c r="B24" t="s">
        <v>35</v>
      </c>
      <c r="C24" s="1">
        <v>3301</v>
      </c>
      <c r="D24" s="1">
        <v>2317</v>
      </c>
      <c r="E24" s="1">
        <v>2425</v>
      </c>
      <c r="F24" s="1">
        <v>2271</v>
      </c>
      <c r="G24" s="1">
        <v>2537</v>
      </c>
      <c r="H24" s="1">
        <v>4119</v>
      </c>
      <c r="I24" s="1">
        <v>5092</v>
      </c>
      <c r="J24" s="1">
        <v>22061</v>
      </c>
      <c r="K24" s="1">
        <v>3485</v>
      </c>
      <c r="L24" s="1">
        <v>2611</v>
      </c>
      <c r="M24" s="1">
        <v>2489</v>
      </c>
      <c r="N24" s="1">
        <v>3151</v>
      </c>
      <c r="O24" s="1">
        <v>3630</v>
      </c>
      <c r="P24" s="1">
        <v>5377</v>
      </c>
      <c r="Q24" s="1">
        <v>5727</v>
      </c>
      <c r="R24" s="1">
        <v>26471</v>
      </c>
      <c r="S24" s="1">
        <f t="shared" si="0"/>
        <v>48532</v>
      </c>
      <c r="T24" s="9">
        <f t="shared" si="1"/>
        <v>0.41858979642297867</v>
      </c>
    </row>
    <row r="25" spans="1:20">
      <c r="A25" s="5">
        <v>23</v>
      </c>
      <c r="B25" t="s">
        <v>45</v>
      </c>
      <c r="C25" s="1">
        <v>2722</v>
      </c>
      <c r="D25" s="1">
        <v>2282</v>
      </c>
      <c r="E25" s="1">
        <v>2459</v>
      </c>
      <c r="F25" s="1">
        <v>2181</v>
      </c>
      <c r="G25" s="1">
        <v>2606</v>
      </c>
      <c r="H25" s="1">
        <v>4852</v>
      </c>
      <c r="I25" s="1">
        <v>5123</v>
      </c>
      <c r="J25" s="1">
        <v>22226</v>
      </c>
      <c r="K25" s="1">
        <v>2809</v>
      </c>
      <c r="L25" s="1">
        <v>2153</v>
      </c>
      <c r="M25" s="1">
        <v>2086</v>
      </c>
      <c r="N25" s="1">
        <v>2675</v>
      </c>
      <c r="O25" s="1">
        <v>3225</v>
      </c>
      <c r="P25" s="1">
        <v>6200</v>
      </c>
      <c r="Q25" s="1">
        <v>6324</v>
      </c>
      <c r="R25" s="1">
        <v>25472</v>
      </c>
      <c r="S25" s="1">
        <f t="shared" si="0"/>
        <v>47698</v>
      </c>
      <c r="T25" s="9">
        <f t="shared" si="1"/>
        <v>0.47169692649586986</v>
      </c>
    </row>
    <row r="26" spans="1:20">
      <c r="A26" s="5">
        <v>24</v>
      </c>
      <c r="B26" s="3" t="s">
        <v>20</v>
      </c>
      <c r="C26" s="4">
        <v>2614</v>
      </c>
      <c r="D26" s="4">
        <v>2321</v>
      </c>
      <c r="E26" s="4">
        <v>2364</v>
      </c>
      <c r="F26" s="4">
        <v>2316</v>
      </c>
      <c r="G26" s="4">
        <v>2625</v>
      </c>
      <c r="H26" s="4">
        <v>4008</v>
      </c>
      <c r="I26" s="4">
        <v>3899</v>
      </c>
      <c r="J26" s="4">
        <v>20148</v>
      </c>
      <c r="K26" s="4">
        <v>2899</v>
      </c>
      <c r="L26" s="4">
        <v>2352</v>
      </c>
      <c r="M26" s="4">
        <v>2379</v>
      </c>
      <c r="N26" s="4">
        <v>2799</v>
      </c>
      <c r="O26" s="4">
        <v>3510</v>
      </c>
      <c r="P26" s="4">
        <v>5504</v>
      </c>
      <c r="Q26" s="4">
        <v>5330</v>
      </c>
      <c r="R26" s="4">
        <v>24772</v>
      </c>
      <c r="S26" s="4">
        <f t="shared" si="0"/>
        <v>44920</v>
      </c>
      <c r="T26" s="11">
        <f t="shared" si="1"/>
        <v>0.41720837043633124</v>
      </c>
    </row>
    <row r="27" spans="1:20">
      <c r="A27" s="5">
        <v>25</v>
      </c>
      <c r="B27" s="3" t="s">
        <v>46</v>
      </c>
      <c r="C27" s="4">
        <v>1792</v>
      </c>
      <c r="D27" s="4">
        <v>1439</v>
      </c>
      <c r="E27" s="4">
        <v>1661</v>
      </c>
      <c r="F27" s="4">
        <v>1341</v>
      </c>
      <c r="G27" s="4">
        <v>1528</v>
      </c>
      <c r="H27" s="4">
        <v>2816</v>
      </c>
      <c r="I27" s="4">
        <v>3224</v>
      </c>
      <c r="J27" s="4">
        <v>13801</v>
      </c>
      <c r="K27" s="4">
        <v>3077</v>
      </c>
      <c r="L27" s="4">
        <v>2425</v>
      </c>
      <c r="M27" s="4">
        <v>2334</v>
      </c>
      <c r="N27" s="4">
        <v>2796</v>
      </c>
      <c r="O27" s="4">
        <v>3235</v>
      </c>
      <c r="P27" s="4">
        <v>4813</v>
      </c>
      <c r="Q27" s="4">
        <v>5620</v>
      </c>
      <c r="R27" s="4">
        <v>24300</v>
      </c>
      <c r="S27" s="4">
        <f t="shared" si="0"/>
        <v>38101</v>
      </c>
      <c r="T27" s="11">
        <f t="shared" si="1"/>
        <v>0.43235085693288888</v>
      </c>
    </row>
    <row r="28" spans="1:20">
      <c r="A28" s="5">
        <v>26</v>
      </c>
      <c r="B28" t="s">
        <v>19</v>
      </c>
      <c r="C28" s="1">
        <v>2162</v>
      </c>
      <c r="D28" s="1">
        <v>1618</v>
      </c>
      <c r="E28" s="1">
        <v>1728</v>
      </c>
      <c r="F28" s="1">
        <v>1727</v>
      </c>
      <c r="G28" s="1">
        <v>2126</v>
      </c>
      <c r="H28" s="1">
        <v>3835</v>
      </c>
      <c r="I28" s="1">
        <v>4051</v>
      </c>
      <c r="J28" s="1">
        <v>17247</v>
      </c>
      <c r="K28" s="1">
        <v>2266</v>
      </c>
      <c r="L28" s="1">
        <v>1593</v>
      </c>
      <c r="M28" s="1">
        <v>1616</v>
      </c>
      <c r="N28" s="1">
        <v>2279</v>
      </c>
      <c r="O28" s="1">
        <v>3006</v>
      </c>
      <c r="P28" s="1">
        <v>4948</v>
      </c>
      <c r="Q28" s="1">
        <v>4678</v>
      </c>
      <c r="R28" s="1">
        <v>20385</v>
      </c>
      <c r="S28" s="1">
        <f t="shared" si="0"/>
        <v>37632</v>
      </c>
      <c r="T28" s="9">
        <f t="shared" si="1"/>
        <v>0.46534863945578231</v>
      </c>
    </row>
    <row r="29" spans="1:20">
      <c r="A29" s="5">
        <v>27</v>
      </c>
      <c r="B29" t="s">
        <v>12</v>
      </c>
      <c r="C29" s="1">
        <v>2656</v>
      </c>
      <c r="D29" s="1">
        <v>2545</v>
      </c>
      <c r="E29" s="1">
        <v>2767</v>
      </c>
      <c r="F29" s="1">
        <v>2629</v>
      </c>
      <c r="G29" s="1">
        <v>2706</v>
      </c>
      <c r="H29" s="1">
        <v>4008</v>
      </c>
      <c r="I29" s="1">
        <v>4033</v>
      </c>
      <c r="J29" s="1">
        <v>21344</v>
      </c>
      <c r="K29" s="1">
        <v>1557</v>
      </c>
      <c r="L29" s="1">
        <v>1363</v>
      </c>
      <c r="M29" s="1">
        <v>1257</v>
      </c>
      <c r="N29" s="1">
        <v>1616</v>
      </c>
      <c r="O29" s="1">
        <v>1902</v>
      </c>
      <c r="P29" s="1">
        <v>3561</v>
      </c>
      <c r="Q29" s="1">
        <v>3985</v>
      </c>
      <c r="R29" s="1">
        <v>15241</v>
      </c>
      <c r="S29" s="1">
        <f t="shared" si="0"/>
        <v>36585</v>
      </c>
      <c r="T29" s="9">
        <f t="shared" si="1"/>
        <v>0.42604892715593823</v>
      </c>
    </row>
    <row r="30" spans="1:20">
      <c r="A30" s="5">
        <v>28</v>
      </c>
      <c r="B30" s="3" t="s">
        <v>11</v>
      </c>
      <c r="C30" s="4">
        <v>1369</v>
      </c>
      <c r="D30" s="4">
        <v>952</v>
      </c>
      <c r="E30" s="4">
        <v>980</v>
      </c>
      <c r="F30" s="4">
        <v>1000</v>
      </c>
      <c r="G30" s="4">
        <v>1195</v>
      </c>
      <c r="H30" s="4">
        <v>2149</v>
      </c>
      <c r="I30" s="4">
        <v>2237</v>
      </c>
      <c r="J30" s="4">
        <v>9882</v>
      </c>
      <c r="K30" s="4">
        <v>2688</v>
      </c>
      <c r="L30" s="4">
        <v>1976</v>
      </c>
      <c r="M30" s="4">
        <v>1936</v>
      </c>
      <c r="N30" s="4">
        <v>2435</v>
      </c>
      <c r="O30" s="4">
        <v>2924</v>
      </c>
      <c r="P30" s="4">
        <v>4529</v>
      </c>
      <c r="Q30" s="4">
        <v>4673</v>
      </c>
      <c r="R30" s="4">
        <v>21161</v>
      </c>
      <c r="S30" s="4">
        <f t="shared" si="0"/>
        <v>31043</v>
      </c>
      <c r="T30" s="11">
        <f t="shared" si="1"/>
        <v>0.43771542698837096</v>
      </c>
    </row>
    <row r="31" spans="1:20">
      <c r="A31" s="5">
        <v>29</v>
      </c>
      <c r="B31" s="3" t="s">
        <v>25</v>
      </c>
      <c r="C31" s="4">
        <v>1522</v>
      </c>
      <c r="D31" s="4">
        <v>1197</v>
      </c>
      <c r="E31" s="4">
        <v>1202</v>
      </c>
      <c r="F31" s="4">
        <v>1176</v>
      </c>
      <c r="G31" s="4">
        <v>1298</v>
      </c>
      <c r="H31" s="4">
        <v>2002</v>
      </c>
      <c r="I31" s="4">
        <v>2257</v>
      </c>
      <c r="J31" s="4">
        <v>10653</v>
      </c>
      <c r="K31" s="4">
        <v>2049</v>
      </c>
      <c r="L31" s="4">
        <v>1666</v>
      </c>
      <c r="M31" s="4">
        <v>1660</v>
      </c>
      <c r="N31" s="4">
        <v>2086</v>
      </c>
      <c r="O31" s="4">
        <v>2516</v>
      </c>
      <c r="P31" s="4">
        <v>3655</v>
      </c>
      <c r="Q31" s="4">
        <v>3903</v>
      </c>
      <c r="R31" s="4">
        <v>17534</v>
      </c>
      <c r="S31" s="4">
        <f t="shared" si="0"/>
        <v>28187</v>
      </c>
      <c r="T31" s="11">
        <f t="shared" si="1"/>
        <v>0.41923581793025155</v>
      </c>
    </row>
    <row r="32" spans="1:20">
      <c r="A32" s="5">
        <v>30</v>
      </c>
      <c r="B32" s="3" t="s">
        <v>32</v>
      </c>
      <c r="C32" s="4">
        <v>1598</v>
      </c>
      <c r="D32" s="4">
        <v>1483</v>
      </c>
      <c r="E32" s="4">
        <v>1730</v>
      </c>
      <c r="F32" s="4">
        <v>1577</v>
      </c>
      <c r="G32" s="4">
        <v>1762</v>
      </c>
      <c r="H32" s="4">
        <v>2359</v>
      </c>
      <c r="I32" s="4">
        <v>2406</v>
      </c>
      <c r="J32" s="4">
        <v>12917</v>
      </c>
      <c r="K32" s="4">
        <v>1730</v>
      </c>
      <c r="L32" s="4">
        <v>1473</v>
      </c>
      <c r="M32" s="4">
        <v>1613</v>
      </c>
      <c r="N32" s="4">
        <v>1902</v>
      </c>
      <c r="O32" s="4">
        <v>2058</v>
      </c>
      <c r="P32" s="4">
        <v>3017</v>
      </c>
      <c r="Q32" s="4">
        <v>2979</v>
      </c>
      <c r="R32" s="4">
        <v>14772</v>
      </c>
      <c r="S32" s="4">
        <f t="shared" si="0"/>
        <v>27689</v>
      </c>
      <c r="T32" s="11">
        <f t="shared" si="1"/>
        <v>0.38863808732709743</v>
      </c>
    </row>
    <row r="33" spans="1:20">
      <c r="A33" s="5">
        <v>31</v>
      </c>
      <c r="B33" t="s">
        <v>47</v>
      </c>
      <c r="C33" s="1">
        <v>1153</v>
      </c>
      <c r="D33" s="1">
        <v>997</v>
      </c>
      <c r="E33" s="1">
        <v>1044</v>
      </c>
      <c r="F33" s="1">
        <v>912</v>
      </c>
      <c r="G33" s="1">
        <v>1048</v>
      </c>
      <c r="H33" s="1">
        <v>1642</v>
      </c>
      <c r="I33" s="1">
        <v>1690</v>
      </c>
      <c r="J33" s="1">
        <v>8486</v>
      </c>
      <c r="K33" s="1">
        <v>1876</v>
      </c>
      <c r="L33" s="1">
        <v>1348</v>
      </c>
      <c r="M33" s="1">
        <v>1321</v>
      </c>
      <c r="N33" s="1">
        <v>1654</v>
      </c>
      <c r="O33" s="1">
        <v>1943</v>
      </c>
      <c r="P33" s="1">
        <v>2973</v>
      </c>
      <c r="Q33" s="1">
        <v>3093</v>
      </c>
      <c r="R33" s="1">
        <v>14208</v>
      </c>
      <c r="S33" s="1">
        <f t="shared" si="0"/>
        <v>22694</v>
      </c>
      <c r="T33" s="9">
        <f t="shared" si="1"/>
        <v>0.41411826914602978</v>
      </c>
    </row>
    <row r="34" spans="1:20">
      <c r="A34" s="5">
        <v>32</v>
      </c>
      <c r="B34" s="3" t="s">
        <v>37</v>
      </c>
      <c r="C34" s="4">
        <v>985</v>
      </c>
      <c r="D34" s="4">
        <v>788</v>
      </c>
      <c r="E34" s="4">
        <v>767</v>
      </c>
      <c r="F34" s="4">
        <v>698</v>
      </c>
      <c r="G34" s="4">
        <v>828</v>
      </c>
      <c r="H34" s="4">
        <v>1480</v>
      </c>
      <c r="I34" s="4">
        <v>1539</v>
      </c>
      <c r="J34" s="4">
        <v>7084</v>
      </c>
      <c r="K34" s="4">
        <v>1528</v>
      </c>
      <c r="L34" s="4">
        <v>1159</v>
      </c>
      <c r="M34" s="4">
        <v>1189</v>
      </c>
      <c r="N34" s="4">
        <v>1417</v>
      </c>
      <c r="O34" s="4">
        <v>1678</v>
      </c>
      <c r="P34" s="4">
        <v>2648</v>
      </c>
      <c r="Q34" s="4">
        <v>2742</v>
      </c>
      <c r="R34" s="4">
        <v>12362</v>
      </c>
      <c r="S34" s="4">
        <f t="shared" si="0"/>
        <v>19446</v>
      </c>
      <c r="T34" s="11">
        <f t="shared" si="1"/>
        <v>0.43242826288182662</v>
      </c>
    </row>
    <row r="35" spans="1:20">
      <c r="A35" s="5">
        <v>33</v>
      </c>
      <c r="B35" s="3" t="s">
        <v>28</v>
      </c>
      <c r="C35" s="4">
        <v>970</v>
      </c>
      <c r="D35" s="4">
        <v>779</v>
      </c>
      <c r="E35" s="4">
        <v>731</v>
      </c>
      <c r="F35" s="4">
        <v>722</v>
      </c>
      <c r="G35" s="4">
        <v>788</v>
      </c>
      <c r="H35" s="4">
        <v>1233</v>
      </c>
      <c r="I35" s="4">
        <v>1401</v>
      </c>
      <c r="J35" s="4">
        <v>6624</v>
      </c>
      <c r="K35" s="4">
        <v>1327</v>
      </c>
      <c r="L35" s="4">
        <v>1076</v>
      </c>
      <c r="M35" s="4">
        <v>1044</v>
      </c>
      <c r="N35" s="4">
        <v>1341</v>
      </c>
      <c r="O35" s="4">
        <v>1614</v>
      </c>
      <c r="P35" s="4">
        <v>2124</v>
      </c>
      <c r="Q35" s="4">
        <v>2102</v>
      </c>
      <c r="R35" s="4">
        <v>10628</v>
      </c>
      <c r="S35" s="4">
        <f t="shared" ref="S35:S52" si="2">R35+J35</f>
        <v>17252</v>
      </c>
      <c r="T35" s="11">
        <f t="shared" si="1"/>
        <v>0.3976350568050081</v>
      </c>
    </row>
    <row r="36" spans="1:20">
      <c r="A36" s="5">
        <v>34</v>
      </c>
      <c r="B36" t="s">
        <v>43</v>
      </c>
      <c r="C36" s="1">
        <v>781</v>
      </c>
      <c r="D36" s="1">
        <v>651</v>
      </c>
      <c r="E36" s="1">
        <v>647</v>
      </c>
      <c r="F36" s="1">
        <v>576</v>
      </c>
      <c r="G36" s="1">
        <v>719</v>
      </c>
      <c r="H36" s="1">
        <v>1163</v>
      </c>
      <c r="I36" s="1">
        <v>1262</v>
      </c>
      <c r="J36" s="1">
        <v>5798</v>
      </c>
      <c r="K36" s="1">
        <v>1248</v>
      </c>
      <c r="L36" s="1">
        <v>1073</v>
      </c>
      <c r="M36" s="1">
        <v>940</v>
      </c>
      <c r="N36" s="1">
        <v>1158</v>
      </c>
      <c r="O36" s="1">
        <v>1411</v>
      </c>
      <c r="P36" s="1">
        <v>2410</v>
      </c>
      <c r="Q36" s="1">
        <v>2408</v>
      </c>
      <c r="R36" s="1">
        <v>10647</v>
      </c>
      <c r="S36" s="1">
        <f t="shared" si="2"/>
        <v>16445</v>
      </c>
      <c r="T36" s="9">
        <f t="shared" si="1"/>
        <v>0.44043782304651868</v>
      </c>
    </row>
    <row r="37" spans="1:20">
      <c r="A37" s="5">
        <v>35</v>
      </c>
      <c r="B37" t="s">
        <v>38</v>
      </c>
      <c r="C37" s="1">
        <v>938</v>
      </c>
      <c r="D37" s="1">
        <v>745</v>
      </c>
      <c r="E37" s="1">
        <v>799</v>
      </c>
      <c r="F37" s="1">
        <v>740</v>
      </c>
      <c r="G37" s="1">
        <v>906</v>
      </c>
      <c r="H37" s="1">
        <v>1525</v>
      </c>
      <c r="I37" s="1">
        <v>1514</v>
      </c>
      <c r="J37" s="1">
        <v>7167</v>
      </c>
      <c r="K37" s="1">
        <v>1073</v>
      </c>
      <c r="L37" s="1">
        <v>808</v>
      </c>
      <c r="M37" s="1">
        <v>790</v>
      </c>
      <c r="N37" s="1">
        <v>1046</v>
      </c>
      <c r="O37" s="1">
        <v>1301</v>
      </c>
      <c r="P37" s="1">
        <v>2223</v>
      </c>
      <c r="Q37" s="1">
        <v>2008</v>
      </c>
      <c r="R37" s="1">
        <v>9249</v>
      </c>
      <c r="S37" s="1">
        <f t="shared" si="2"/>
        <v>16416</v>
      </c>
      <c r="T37" s="9">
        <f t="shared" si="1"/>
        <v>0.4428606237816764</v>
      </c>
    </row>
    <row r="38" spans="1:20">
      <c r="A38" s="5">
        <v>36</v>
      </c>
      <c r="B38" s="3" t="s">
        <v>49</v>
      </c>
      <c r="C38" s="4">
        <v>748</v>
      </c>
      <c r="D38" s="4">
        <v>602</v>
      </c>
      <c r="E38" s="4">
        <v>687</v>
      </c>
      <c r="F38" s="4">
        <v>625</v>
      </c>
      <c r="G38" s="4">
        <v>757</v>
      </c>
      <c r="H38" s="4">
        <v>1332</v>
      </c>
      <c r="I38" s="4">
        <v>1384</v>
      </c>
      <c r="J38" s="4">
        <v>6133</v>
      </c>
      <c r="K38" s="4">
        <v>1119</v>
      </c>
      <c r="L38" s="4">
        <v>895</v>
      </c>
      <c r="M38" s="4">
        <v>909</v>
      </c>
      <c r="N38" s="4">
        <v>1107</v>
      </c>
      <c r="O38" s="4">
        <v>1332</v>
      </c>
      <c r="P38" s="4">
        <v>2436</v>
      </c>
      <c r="Q38" s="4">
        <v>2300</v>
      </c>
      <c r="R38" s="4">
        <v>10097</v>
      </c>
      <c r="S38" s="4">
        <f t="shared" si="2"/>
        <v>16230</v>
      </c>
      <c r="T38" s="11">
        <f t="shared" si="1"/>
        <v>0.45914972273567467</v>
      </c>
    </row>
    <row r="39" spans="1:20">
      <c r="A39" s="5">
        <v>37</v>
      </c>
      <c r="B39" t="s">
        <v>31</v>
      </c>
      <c r="C39" s="1">
        <v>683</v>
      </c>
      <c r="D39" s="1">
        <v>681</v>
      </c>
      <c r="E39" s="1">
        <v>696</v>
      </c>
      <c r="F39" s="1">
        <v>687</v>
      </c>
      <c r="G39" s="1">
        <v>757</v>
      </c>
      <c r="H39" s="1">
        <v>840</v>
      </c>
      <c r="I39" s="1">
        <v>847</v>
      </c>
      <c r="J39" s="1">
        <v>5190</v>
      </c>
      <c r="K39" s="1">
        <v>915</v>
      </c>
      <c r="L39" s="1">
        <v>868</v>
      </c>
      <c r="M39" s="1">
        <v>938</v>
      </c>
      <c r="N39" s="1">
        <v>1006</v>
      </c>
      <c r="O39" s="1">
        <v>1150</v>
      </c>
      <c r="P39" s="1">
        <v>1462</v>
      </c>
      <c r="Q39" s="1">
        <v>1549</v>
      </c>
      <c r="R39" s="1">
        <v>7887</v>
      </c>
      <c r="S39" s="1">
        <f t="shared" si="2"/>
        <v>13077</v>
      </c>
      <c r="T39" s="9">
        <f t="shared" si="1"/>
        <v>0.35925671025464556</v>
      </c>
    </row>
    <row r="40" spans="1:20">
      <c r="A40" s="5">
        <v>38</v>
      </c>
      <c r="B40" t="s">
        <v>36</v>
      </c>
      <c r="C40" s="1">
        <v>603</v>
      </c>
      <c r="D40" s="1">
        <v>500</v>
      </c>
      <c r="E40" s="1">
        <v>512</v>
      </c>
      <c r="F40" s="1">
        <v>515</v>
      </c>
      <c r="G40" s="1">
        <v>583</v>
      </c>
      <c r="H40" s="1">
        <v>915</v>
      </c>
      <c r="I40" s="1">
        <v>895</v>
      </c>
      <c r="J40" s="1">
        <v>4522</v>
      </c>
      <c r="K40" s="1">
        <v>702</v>
      </c>
      <c r="L40" s="1">
        <v>606</v>
      </c>
      <c r="M40" s="1">
        <v>597</v>
      </c>
      <c r="N40" s="1">
        <v>729</v>
      </c>
      <c r="O40" s="1">
        <v>868</v>
      </c>
      <c r="P40" s="1">
        <v>1338</v>
      </c>
      <c r="Q40" s="1">
        <v>1223</v>
      </c>
      <c r="R40" s="1">
        <v>6062</v>
      </c>
      <c r="S40" s="1">
        <f t="shared" si="2"/>
        <v>10584</v>
      </c>
      <c r="T40" s="9">
        <f t="shared" si="1"/>
        <v>0.41298185941043086</v>
      </c>
    </row>
    <row r="41" spans="1:20">
      <c r="A41" s="5">
        <v>39</v>
      </c>
      <c r="B41" s="3" t="s">
        <v>34</v>
      </c>
      <c r="C41" s="4">
        <v>582</v>
      </c>
      <c r="D41" s="4">
        <v>527</v>
      </c>
      <c r="E41" s="4">
        <v>542</v>
      </c>
      <c r="F41" s="4">
        <v>513</v>
      </c>
      <c r="G41" s="4">
        <v>626</v>
      </c>
      <c r="H41" s="4">
        <v>882</v>
      </c>
      <c r="I41" s="4">
        <v>892</v>
      </c>
      <c r="J41" s="4">
        <v>4565</v>
      </c>
      <c r="K41" s="4">
        <v>543</v>
      </c>
      <c r="L41" s="4">
        <v>466</v>
      </c>
      <c r="M41" s="4">
        <v>464</v>
      </c>
      <c r="N41" s="4">
        <v>593</v>
      </c>
      <c r="O41" s="4">
        <v>758</v>
      </c>
      <c r="P41" s="4">
        <v>1223</v>
      </c>
      <c r="Q41" s="4">
        <v>1047</v>
      </c>
      <c r="R41" s="4">
        <v>5093</v>
      </c>
      <c r="S41" s="4">
        <f t="shared" si="2"/>
        <v>9658</v>
      </c>
      <c r="T41" s="11">
        <f t="shared" si="1"/>
        <v>0.41872023193207702</v>
      </c>
    </row>
    <row r="42" spans="1:20">
      <c r="A42" s="5">
        <v>40</v>
      </c>
      <c r="B42" s="3" t="s">
        <v>39</v>
      </c>
      <c r="C42" s="4">
        <v>511</v>
      </c>
      <c r="D42" s="4">
        <v>383</v>
      </c>
      <c r="E42" s="4">
        <v>413</v>
      </c>
      <c r="F42" s="4">
        <v>354</v>
      </c>
      <c r="G42" s="4">
        <v>457</v>
      </c>
      <c r="H42" s="4">
        <v>944</v>
      </c>
      <c r="I42" s="4">
        <v>995</v>
      </c>
      <c r="J42" s="4">
        <v>4057</v>
      </c>
      <c r="K42" s="4">
        <v>569</v>
      </c>
      <c r="L42" s="4">
        <v>422</v>
      </c>
      <c r="M42" s="4">
        <v>406</v>
      </c>
      <c r="N42" s="4">
        <v>543</v>
      </c>
      <c r="O42" s="4">
        <v>796</v>
      </c>
      <c r="P42" s="4">
        <v>1397</v>
      </c>
      <c r="Q42" s="4">
        <v>1222</v>
      </c>
      <c r="R42" s="4">
        <v>5354</v>
      </c>
      <c r="S42" s="4">
        <f t="shared" si="2"/>
        <v>9411</v>
      </c>
      <c r="T42" s="11">
        <f t="shared" si="1"/>
        <v>0.48432685155668898</v>
      </c>
    </row>
    <row r="43" spans="1:20">
      <c r="A43" s="5">
        <v>41</v>
      </c>
      <c r="B43" s="3" t="s">
        <v>42</v>
      </c>
      <c r="C43" s="4">
        <v>419</v>
      </c>
      <c r="D43" s="4">
        <v>341</v>
      </c>
      <c r="E43" s="4">
        <v>343</v>
      </c>
      <c r="F43" s="4">
        <v>356</v>
      </c>
      <c r="G43" s="4">
        <v>413</v>
      </c>
      <c r="H43" s="4">
        <v>635</v>
      </c>
      <c r="I43" s="4">
        <v>644</v>
      </c>
      <c r="J43" s="4">
        <v>3152</v>
      </c>
      <c r="K43" s="4">
        <v>592</v>
      </c>
      <c r="L43" s="4">
        <v>482</v>
      </c>
      <c r="M43" s="4">
        <v>447</v>
      </c>
      <c r="N43" s="4">
        <v>546</v>
      </c>
      <c r="O43" s="4">
        <v>677</v>
      </c>
      <c r="P43" s="4">
        <v>1047</v>
      </c>
      <c r="Q43" s="4">
        <v>1003</v>
      </c>
      <c r="R43" s="4">
        <v>4793</v>
      </c>
      <c r="S43" s="4">
        <f t="shared" si="2"/>
        <v>7945</v>
      </c>
      <c r="T43" s="11">
        <f t="shared" si="1"/>
        <v>0.41900566393958466</v>
      </c>
    </row>
    <row r="44" spans="1:20">
      <c r="A44" s="5">
        <v>42</v>
      </c>
      <c r="B44" t="s">
        <v>14</v>
      </c>
      <c r="C44" s="1">
        <v>225</v>
      </c>
      <c r="D44" s="1">
        <v>182</v>
      </c>
      <c r="E44" s="1">
        <v>203</v>
      </c>
      <c r="F44" s="1">
        <v>178</v>
      </c>
      <c r="G44" s="1">
        <v>216</v>
      </c>
      <c r="H44" s="1">
        <v>402</v>
      </c>
      <c r="I44" s="1">
        <v>421</v>
      </c>
      <c r="J44" s="1">
        <v>1827</v>
      </c>
      <c r="K44" s="1">
        <v>391</v>
      </c>
      <c r="L44" s="1">
        <v>314</v>
      </c>
      <c r="M44" s="1">
        <v>306</v>
      </c>
      <c r="N44" s="1">
        <v>390</v>
      </c>
      <c r="O44" s="1">
        <v>460</v>
      </c>
      <c r="P44" s="1">
        <v>817</v>
      </c>
      <c r="Q44" s="1">
        <v>821</v>
      </c>
      <c r="R44" s="1">
        <v>3499</v>
      </c>
      <c r="S44" s="1">
        <f t="shared" si="2"/>
        <v>5326</v>
      </c>
      <c r="T44" s="9">
        <f t="shared" si="1"/>
        <v>0.46207285016898236</v>
      </c>
    </row>
    <row r="45" spans="1:20">
      <c r="A45" s="5">
        <v>43</v>
      </c>
      <c r="B45" s="3" t="s">
        <v>8</v>
      </c>
      <c r="C45" s="4">
        <v>248</v>
      </c>
      <c r="D45" s="4">
        <v>213</v>
      </c>
      <c r="E45" s="4">
        <v>250</v>
      </c>
      <c r="F45" s="4">
        <v>213</v>
      </c>
      <c r="G45" s="4">
        <v>244</v>
      </c>
      <c r="H45" s="4">
        <v>487</v>
      </c>
      <c r="I45" s="4">
        <v>569</v>
      </c>
      <c r="J45" s="4">
        <v>2225</v>
      </c>
      <c r="K45" s="4">
        <v>205</v>
      </c>
      <c r="L45" s="4">
        <v>145</v>
      </c>
      <c r="M45" s="4">
        <v>142</v>
      </c>
      <c r="N45" s="4">
        <v>191</v>
      </c>
      <c r="O45" s="4">
        <v>235</v>
      </c>
      <c r="P45" s="4">
        <v>581</v>
      </c>
      <c r="Q45" s="4">
        <v>611</v>
      </c>
      <c r="R45" s="4">
        <v>2110</v>
      </c>
      <c r="S45" s="4">
        <f t="shared" si="2"/>
        <v>4335</v>
      </c>
      <c r="T45" s="11">
        <f t="shared" si="1"/>
        <v>0.5185697808535179</v>
      </c>
    </row>
    <row r="46" spans="1:20">
      <c r="A46" s="5">
        <v>44</v>
      </c>
      <c r="B46" s="3" t="s">
        <v>40</v>
      </c>
      <c r="C46" s="4">
        <v>233</v>
      </c>
      <c r="D46" s="4">
        <v>193</v>
      </c>
      <c r="E46" s="4">
        <v>211</v>
      </c>
      <c r="F46" s="4">
        <v>179</v>
      </c>
      <c r="G46" s="4">
        <v>204</v>
      </c>
      <c r="H46" s="4">
        <v>376</v>
      </c>
      <c r="I46" s="4">
        <v>423</v>
      </c>
      <c r="J46" s="4">
        <v>1819</v>
      </c>
      <c r="K46" s="4">
        <v>288</v>
      </c>
      <c r="L46" s="4">
        <v>213</v>
      </c>
      <c r="M46" s="4">
        <v>208</v>
      </c>
      <c r="N46" s="4">
        <v>277</v>
      </c>
      <c r="O46" s="4">
        <v>330</v>
      </c>
      <c r="P46" s="4">
        <v>490</v>
      </c>
      <c r="Q46" s="4">
        <v>575</v>
      </c>
      <c r="R46" s="4">
        <v>2381</v>
      </c>
      <c r="S46" s="4">
        <f t="shared" si="2"/>
        <v>4200</v>
      </c>
      <c r="T46" s="11">
        <f t="shared" si="1"/>
        <v>0.44380952380952382</v>
      </c>
    </row>
    <row r="47" spans="1:20">
      <c r="A47" s="5">
        <v>45</v>
      </c>
      <c r="B47" s="3" t="s">
        <v>0</v>
      </c>
      <c r="C47" s="4">
        <v>227</v>
      </c>
      <c r="D47" s="4">
        <v>184</v>
      </c>
      <c r="E47" s="4">
        <v>174</v>
      </c>
      <c r="F47" s="4">
        <v>186</v>
      </c>
      <c r="G47" s="4">
        <v>218</v>
      </c>
      <c r="H47" s="4">
        <v>353</v>
      </c>
      <c r="I47" s="4">
        <v>363</v>
      </c>
      <c r="J47" s="4">
        <v>1703</v>
      </c>
      <c r="K47" s="4">
        <v>267</v>
      </c>
      <c r="L47" s="4">
        <v>196</v>
      </c>
      <c r="M47" s="4">
        <v>191</v>
      </c>
      <c r="N47" s="4">
        <v>249</v>
      </c>
      <c r="O47" s="4">
        <v>332</v>
      </c>
      <c r="P47" s="4">
        <v>538</v>
      </c>
      <c r="Q47" s="4">
        <v>498</v>
      </c>
      <c r="R47" s="4">
        <v>2269</v>
      </c>
      <c r="S47" s="4">
        <f t="shared" si="2"/>
        <v>3972</v>
      </c>
      <c r="T47" s="11">
        <f t="shared" si="1"/>
        <v>0.44108761329305135</v>
      </c>
    </row>
    <row r="48" spans="1:20">
      <c r="A48" s="5">
        <v>46</v>
      </c>
      <c r="B48" s="3" t="s">
        <v>24</v>
      </c>
      <c r="C48" s="4">
        <v>85</v>
      </c>
      <c r="D48" s="4">
        <v>78</v>
      </c>
      <c r="E48" s="4">
        <v>97</v>
      </c>
      <c r="F48" s="4">
        <v>71</v>
      </c>
      <c r="G48" s="4">
        <v>80</v>
      </c>
      <c r="H48" s="4">
        <v>160</v>
      </c>
      <c r="I48" s="4">
        <v>172</v>
      </c>
      <c r="J48" s="4">
        <v>745</v>
      </c>
      <c r="K48" s="4">
        <v>63</v>
      </c>
      <c r="L48" s="4">
        <v>49</v>
      </c>
      <c r="M48" s="4">
        <v>50</v>
      </c>
      <c r="N48" s="4">
        <v>65</v>
      </c>
      <c r="O48" s="4">
        <v>76</v>
      </c>
      <c r="P48" s="4">
        <v>150</v>
      </c>
      <c r="Q48" s="4">
        <v>147</v>
      </c>
      <c r="R48" s="4">
        <v>600</v>
      </c>
      <c r="S48" s="4">
        <f t="shared" si="2"/>
        <v>1345</v>
      </c>
      <c r="T48" s="11">
        <f t="shared" si="1"/>
        <v>0.46765799256505575</v>
      </c>
    </row>
    <row r="49" spans="1:20">
      <c r="A49" s="5">
        <v>47</v>
      </c>
      <c r="B49" t="s">
        <v>9</v>
      </c>
      <c r="C49" s="1">
        <v>35</v>
      </c>
      <c r="D49" s="1">
        <v>33</v>
      </c>
      <c r="E49" s="1">
        <v>35</v>
      </c>
      <c r="F49" s="1">
        <v>34</v>
      </c>
      <c r="G49" s="1">
        <v>39</v>
      </c>
      <c r="H49" s="1">
        <v>50</v>
      </c>
      <c r="I49" s="1">
        <v>47</v>
      </c>
      <c r="J49" s="1">
        <v>274</v>
      </c>
      <c r="K49" s="1">
        <v>48</v>
      </c>
      <c r="L49" s="1">
        <v>39</v>
      </c>
      <c r="M49" s="1">
        <v>40</v>
      </c>
      <c r="N49" s="1">
        <v>48</v>
      </c>
      <c r="O49" s="1">
        <v>60</v>
      </c>
      <c r="P49" s="1">
        <v>78</v>
      </c>
      <c r="Q49" s="1">
        <v>66</v>
      </c>
      <c r="R49" s="1">
        <v>379</v>
      </c>
      <c r="S49" s="1">
        <f t="shared" si="2"/>
        <v>653</v>
      </c>
      <c r="T49" s="9">
        <f t="shared" si="1"/>
        <v>0.36906584992343033</v>
      </c>
    </row>
    <row r="50" spans="1:20">
      <c r="A50" s="5">
        <v>48</v>
      </c>
      <c r="B50" s="3" t="s">
        <v>27</v>
      </c>
      <c r="C50" s="4">
        <v>23</v>
      </c>
      <c r="D50" s="4">
        <v>18</v>
      </c>
      <c r="E50" s="4">
        <v>21</v>
      </c>
      <c r="F50" s="4">
        <v>20</v>
      </c>
      <c r="G50" s="4">
        <v>26</v>
      </c>
      <c r="H50" s="4">
        <v>51</v>
      </c>
      <c r="I50" s="4">
        <v>47</v>
      </c>
      <c r="J50" s="4">
        <v>206</v>
      </c>
      <c r="K50" s="4">
        <v>24</v>
      </c>
      <c r="L50" s="4">
        <v>16</v>
      </c>
      <c r="M50" s="4">
        <v>18</v>
      </c>
      <c r="N50" s="4">
        <v>20</v>
      </c>
      <c r="O50" s="4">
        <v>33</v>
      </c>
      <c r="P50" s="4">
        <v>62</v>
      </c>
      <c r="Q50" s="4">
        <v>57</v>
      </c>
      <c r="R50" s="4">
        <v>229</v>
      </c>
      <c r="S50" s="4">
        <f t="shared" si="2"/>
        <v>435</v>
      </c>
      <c r="T50" s="11">
        <f t="shared" si="1"/>
        <v>0.49885057471264366</v>
      </c>
    </row>
    <row r="51" spans="1:20">
      <c r="A51" s="5">
        <v>49</v>
      </c>
      <c r="B51" t="s">
        <v>2</v>
      </c>
      <c r="C51" s="1">
        <v>12</v>
      </c>
      <c r="D51" s="1">
        <v>8</v>
      </c>
      <c r="E51" s="1">
        <v>8</v>
      </c>
      <c r="F51" s="1">
        <v>7</v>
      </c>
      <c r="G51" s="1">
        <v>8</v>
      </c>
      <c r="H51" s="1">
        <v>19</v>
      </c>
      <c r="I51" s="1">
        <v>24</v>
      </c>
      <c r="J51" s="1">
        <v>87</v>
      </c>
      <c r="K51" s="1">
        <v>39</v>
      </c>
      <c r="L51" s="1">
        <v>30</v>
      </c>
      <c r="M51" s="1">
        <v>30</v>
      </c>
      <c r="N51" s="1">
        <v>42</v>
      </c>
      <c r="O51" s="1">
        <v>50</v>
      </c>
      <c r="P51" s="1">
        <v>70</v>
      </c>
      <c r="Q51" s="1">
        <v>78</v>
      </c>
      <c r="R51" s="1">
        <v>340</v>
      </c>
      <c r="S51" s="1">
        <f t="shared" si="2"/>
        <v>427</v>
      </c>
      <c r="T51" s="9">
        <f t="shared" si="1"/>
        <v>0.44730679156908665</v>
      </c>
    </row>
    <row r="52" spans="1:20">
      <c r="A52" s="5">
        <v>50</v>
      </c>
      <c r="B52" t="s">
        <v>15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1</v>
      </c>
      <c r="J52" s="1">
        <v>4</v>
      </c>
      <c r="K52" s="1">
        <v>0</v>
      </c>
      <c r="L52" s="1">
        <v>0</v>
      </c>
      <c r="M52" s="1"/>
      <c r="N52" s="1">
        <v>1</v>
      </c>
      <c r="O52" s="1">
        <v>1</v>
      </c>
      <c r="P52" s="1">
        <v>2</v>
      </c>
      <c r="Q52" s="1">
        <v>1</v>
      </c>
      <c r="R52" s="1">
        <v>4</v>
      </c>
      <c r="S52" s="1">
        <f t="shared" si="2"/>
        <v>8</v>
      </c>
      <c r="T52" s="9">
        <f t="shared" si="1"/>
        <v>0.625</v>
      </c>
    </row>
  </sheetData>
  <sortState xmlns:xlrd2="http://schemas.microsoft.com/office/spreadsheetml/2017/richdata2" ref="B3:S52">
    <sortCondition descending="1" ref="S3:S52"/>
  </sortState>
  <mergeCells count="2">
    <mergeCell ref="C1:J1"/>
    <mergeCell ref="K1:R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15B5-3408-4034-844B-2DE607E8C17D}">
  <dimension ref="A1:Q52"/>
  <sheetViews>
    <sheetView workbookViewId="0">
      <selection activeCell="L35" sqref="L35"/>
    </sheetView>
  </sheetViews>
  <sheetFormatPr defaultRowHeight="14.4"/>
  <cols>
    <col min="1" max="1" width="5.33203125" bestFit="1" customWidth="1"/>
    <col min="2" max="2" width="23.33203125" bestFit="1" customWidth="1"/>
    <col min="3" max="3" width="10.5546875" bestFit="1" customWidth="1"/>
    <col min="4" max="5" width="8.88671875" bestFit="1" customWidth="1"/>
    <col min="6" max="8" width="10.5546875" bestFit="1" customWidth="1"/>
    <col min="9" max="9" width="9" bestFit="1" customWidth="1"/>
    <col min="10" max="10" width="10.5546875" bestFit="1" customWidth="1"/>
    <col min="11" max="12" width="9" bestFit="1" customWidth="1"/>
    <col min="13" max="16" width="10.5546875" bestFit="1" customWidth="1"/>
    <col min="17" max="17" width="18.44140625" bestFit="1" customWidth="1"/>
  </cols>
  <sheetData>
    <row r="1" spans="1:17">
      <c r="A1" s="7"/>
      <c r="B1" s="7"/>
      <c r="C1" s="26" t="s">
        <v>99</v>
      </c>
      <c r="D1" s="26"/>
      <c r="E1" s="26"/>
      <c r="F1" s="26"/>
      <c r="G1" s="26"/>
      <c r="H1" s="26"/>
      <c r="I1" s="26"/>
      <c r="J1" s="26" t="s">
        <v>100</v>
      </c>
      <c r="K1" s="26"/>
      <c r="L1" s="26"/>
      <c r="M1" s="26"/>
      <c r="N1" s="26"/>
      <c r="O1" s="26"/>
      <c r="P1" s="26"/>
      <c r="Q1" s="7" t="s">
        <v>101</v>
      </c>
    </row>
    <row r="2" spans="1:17" ht="17.399999999999999">
      <c r="A2" s="7" t="s">
        <v>51</v>
      </c>
      <c r="B2" s="7" t="s">
        <v>66</v>
      </c>
      <c r="C2" s="7" t="s">
        <v>114</v>
      </c>
      <c r="D2" s="7" t="s">
        <v>115</v>
      </c>
      <c r="E2" s="7" t="s">
        <v>116</v>
      </c>
      <c r="F2" s="7" t="s">
        <v>117</v>
      </c>
      <c r="G2" s="7" t="s">
        <v>118</v>
      </c>
      <c r="H2" s="7" t="s">
        <v>119</v>
      </c>
      <c r="I2" s="7" t="s">
        <v>63</v>
      </c>
      <c r="J2" s="7" t="s">
        <v>114</v>
      </c>
      <c r="K2" s="7" t="s">
        <v>115</v>
      </c>
      <c r="L2" s="7" t="s">
        <v>116</v>
      </c>
      <c r="M2" s="7" t="s">
        <v>117</v>
      </c>
      <c r="N2" s="7" t="s">
        <v>118</v>
      </c>
      <c r="O2" s="7" t="s">
        <v>119</v>
      </c>
      <c r="P2" s="7" t="s">
        <v>63</v>
      </c>
      <c r="Q2" s="7" t="s">
        <v>86</v>
      </c>
    </row>
    <row r="3" spans="1:17">
      <c r="A3" s="5">
        <v>1</v>
      </c>
      <c r="B3" t="s">
        <v>1</v>
      </c>
      <c r="C3" s="1">
        <v>73842</v>
      </c>
      <c r="D3" s="1">
        <v>72676</v>
      </c>
      <c r="E3" s="1">
        <v>92923</v>
      </c>
      <c r="F3" s="1">
        <v>138800</v>
      </c>
      <c r="G3" s="1">
        <v>137642</v>
      </c>
      <c r="H3" s="1">
        <v>99568</v>
      </c>
      <c r="I3" s="1">
        <v>615452</v>
      </c>
      <c r="J3" s="1">
        <v>177398</v>
      </c>
      <c r="K3" s="1">
        <v>145322</v>
      </c>
      <c r="L3" s="1">
        <v>158047</v>
      </c>
      <c r="M3" s="1">
        <v>192646</v>
      </c>
      <c r="N3" s="1">
        <v>238621</v>
      </c>
      <c r="O3" s="1">
        <v>214034</v>
      </c>
      <c r="P3" s="1">
        <v>1126067</v>
      </c>
      <c r="Q3" s="1">
        <f t="shared" ref="Q3:Q34" si="0">P3+I3</f>
        <v>1741519</v>
      </c>
    </row>
    <row r="4" spans="1:17">
      <c r="A4" s="5">
        <v>2</v>
      </c>
      <c r="B4" s="3" t="s">
        <v>33</v>
      </c>
      <c r="C4" s="4">
        <v>89470</v>
      </c>
      <c r="D4" s="4">
        <v>88941</v>
      </c>
      <c r="E4" s="4">
        <v>83160</v>
      </c>
      <c r="F4" s="4">
        <v>67154</v>
      </c>
      <c r="G4" s="4">
        <v>80551</v>
      </c>
      <c r="H4" s="4">
        <v>87240</v>
      </c>
      <c r="I4" s="4">
        <v>496516</v>
      </c>
      <c r="J4" s="4">
        <v>168887</v>
      </c>
      <c r="K4" s="4">
        <v>166575</v>
      </c>
      <c r="L4" s="4">
        <v>162970</v>
      </c>
      <c r="M4" s="4">
        <v>134746</v>
      </c>
      <c r="N4" s="4">
        <v>175534</v>
      </c>
      <c r="O4" s="4">
        <v>173907</v>
      </c>
      <c r="P4" s="4">
        <v>982619</v>
      </c>
      <c r="Q4" s="4">
        <f t="shared" si="0"/>
        <v>1479135</v>
      </c>
    </row>
    <row r="5" spans="1:17">
      <c r="A5" s="5">
        <v>3</v>
      </c>
      <c r="B5" t="s">
        <v>17</v>
      </c>
      <c r="C5" s="1">
        <v>78964</v>
      </c>
      <c r="D5" s="1">
        <v>78013</v>
      </c>
      <c r="E5" s="1">
        <v>73380</v>
      </c>
      <c r="F5" s="1">
        <v>60011</v>
      </c>
      <c r="G5" s="1">
        <v>72773</v>
      </c>
      <c r="H5" s="1">
        <v>78712</v>
      </c>
      <c r="I5" s="1">
        <v>441853</v>
      </c>
      <c r="J5" s="1">
        <v>139424</v>
      </c>
      <c r="K5" s="1">
        <v>136909</v>
      </c>
      <c r="L5" s="1">
        <v>133514</v>
      </c>
      <c r="M5" s="1">
        <v>108379</v>
      </c>
      <c r="N5" s="1">
        <v>145218</v>
      </c>
      <c r="O5" s="1">
        <v>144476</v>
      </c>
      <c r="P5" s="1">
        <v>807918</v>
      </c>
      <c r="Q5" s="1">
        <f t="shared" si="0"/>
        <v>1249771</v>
      </c>
    </row>
    <row r="6" spans="1:17">
      <c r="A6" s="5">
        <v>4</v>
      </c>
      <c r="B6" t="s">
        <v>23</v>
      </c>
      <c r="C6" s="1">
        <v>40092</v>
      </c>
      <c r="D6" s="1">
        <v>36866</v>
      </c>
      <c r="E6" s="1">
        <v>49986</v>
      </c>
      <c r="F6" s="1">
        <v>87865</v>
      </c>
      <c r="G6" s="1">
        <v>74362</v>
      </c>
      <c r="H6" s="1">
        <v>45979</v>
      </c>
      <c r="I6" s="1">
        <v>335151</v>
      </c>
      <c r="J6" s="1">
        <v>73102</v>
      </c>
      <c r="K6" s="1">
        <v>69942</v>
      </c>
      <c r="L6" s="1">
        <v>94804</v>
      </c>
      <c r="M6" s="1">
        <v>152168</v>
      </c>
      <c r="N6" s="1">
        <v>167415</v>
      </c>
      <c r="O6" s="1">
        <v>95382</v>
      </c>
      <c r="P6" s="1">
        <v>652813</v>
      </c>
      <c r="Q6" s="1">
        <f t="shared" si="0"/>
        <v>987964</v>
      </c>
    </row>
    <row r="7" spans="1:17">
      <c r="A7" s="5">
        <v>5</v>
      </c>
      <c r="B7" t="s">
        <v>16</v>
      </c>
      <c r="C7" s="1">
        <v>37379</v>
      </c>
      <c r="D7" s="1">
        <v>34651</v>
      </c>
      <c r="E7" s="1">
        <v>34102</v>
      </c>
      <c r="F7" s="1">
        <v>33550</v>
      </c>
      <c r="G7" s="1">
        <v>39609</v>
      </c>
      <c r="H7" s="1">
        <v>42785</v>
      </c>
      <c r="I7" s="1">
        <v>222077</v>
      </c>
      <c r="J7" s="1">
        <v>77242</v>
      </c>
      <c r="K7" s="1">
        <v>70271</v>
      </c>
      <c r="L7" s="1">
        <v>68285</v>
      </c>
      <c r="M7" s="1">
        <v>60841</v>
      </c>
      <c r="N7" s="1">
        <v>92578</v>
      </c>
      <c r="O7" s="1">
        <v>102403</v>
      </c>
      <c r="P7" s="1">
        <v>471620</v>
      </c>
      <c r="Q7" s="1">
        <f t="shared" si="0"/>
        <v>693697</v>
      </c>
    </row>
    <row r="8" spans="1:17">
      <c r="A8" s="5">
        <v>6</v>
      </c>
      <c r="B8" t="s">
        <v>21</v>
      </c>
      <c r="C8" s="1">
        <v>15990</v>
      </c>
      <c r="D8" s="1">
        <v>15768</v>
      </c>
      <c r="E8" s="1">
        <v>18991</v>
      </c>
      <c r="F8" s="1">
        <v>37700</v>
      </c>
      <c r="G8" s="1">
        <v>37184</v>
      </c>
      <c r="H8" s="1">
        <v>24724</v>
      </c>
      <c r="I8" s="1">
        <v>150357</v>
      </c>
      <c r="J8" s="1">
        <v>46284</v>
      </c>
      <c r="K8" s="1">
        <v>42585</v>
      </c>
      <c r="L8" s="1">
        <v>46273</v>
      </c>
      <c r="M8" s="1">
        <v>72358</v>
      </c>
      <c r="N8" s="1">
        <v>95608</v>
      </c>
      <c r="O8" s="1">
        <v>77678</v>
      </c>
      <c r="P8" s="1">
        <v>380785</v>
      </c>
      <c r="Q8" s="1">
        <f t="shared" si="0"/>
        <v>531142</v>
      </c>
    </row>
    <row r="9" spans="1:17">
      <c r="A9" s="5">
        <v>7</v>
      </c>
      <c r="B9" s="3" t="s">
        <v>26</v>
      </c>
      <c r="C9" s="4">
        <v>10164</v>
      </c>
      <c r="D9" s="4">
        <v>10057</v>
      </c>
      <c r="E9" s="4">
        <v>13786</v>
      </c>
      <c r="F9" s="4">
        <v>32758</v>
      </c>
      <c r="G9" s="4">
        <v>27680</v>
      </c>
      <c r="H9" s="4">
        <v>13079</v>
      </c>
      <c r="I9" s="4">
        <v>107525</v>
      </c>
      <c r="J9" s="4">
        <v>20692</v>
      </c>
      <c r="K9" s="4">
        <v>20668</v>
      </c>
      <c r="L9" s="4">
        <v>30812</v>
      </c>
      <c r="M9" s="4">
        <v>54183</v>
      </c>
      <c r="N9" s="4">
        <v>63774</v>
      </c>
      <c r="O9" s="4">
        <v>28148</v>
      </c>
      <c r="P9" s="4">
        <v>218277</v>
      </c>
      <c r="Q9" s="4">
        <f t="shared" si="0"/>
        <v>325802</v>
      </c>
    </row>
    <row r="10" spans="1:17">
      <c r="A10" s="5">
        <v>8</v>
      </c>
      <c r="B10" s="3" t="s">
        <v>7</v>
      </c>
      <c r="C10" s="4">
        <v>9966</v>
      </c>
      <c r="D10" s="4">
        <v>10688</v>
      </c>
      <c r="E10" s="4">
        <v>19852</v>
      </c>
      <c r="F10" s="4">
        <v>28349</v>
      </c>
      <c r="G10" s="4">
        <v>23077</v>
      </c>
      <c r="H10" s="4">
        <v>15549</v>
      </c>
      <c r="I10" s="4">
        <v>107481</v>
      </c>
      <c r="J10" s="4">
        <v>11179</v>
      </c>
      <c r="K10" s="4">
        <v>10798</v>
      </c>
      <c r="L10" s="4">
        <v>21621</v>
      </c>
      <c r="M10" s="4">
        <v>24561</v>
      </c>
      <c r="N10" s="4">
        <v>25626</v>
      </c>
      <c r="O10" s="4">
        <v>17966</v>
      </c>
      <c r="P10" s="4">
        <v>111752</v>
      </c>
      <c r="Q10" s="4">
        <f t="shared" si="0"/>
        <v>219233</v>
      </c>
    </row>
    <row r="11" spans="1:17">
      <c r="A11" s="5">
        <v>9</v>
      </c>
      <c r="B11" s="3" t="s">
        <v>29</v>
      </c>
      <c r="C11" s="4">
        <v>7228</v>
      </c>
      <c r="D11" s="4">
        <v>7149</v>
      </c>
      <c r="E11" s="4">
        <v>9979</v>
      </c>
      <c r="F11" s="4">
        <v>24601</v>
      </c>
      <c r="G11" s="4">
        <v>20650</v>
      </c>
      <c r="H11" s="4">
        <v>9484</v>
      </c>
      <c r="I11" s="4">
        <v>79091</v>
      </c>
      <c r="J11" s="4">
        <v>8855</v>
      </c>
      <c r="K11" s="4">
        <v>8841</v>
      </c>
      <c r="L11" s="4">
        <v>13714</v>
      </c>
      <c r="M11" s="4">
        <v>24108</v>
      </c>
      <c r="N11" s="4">
        <v>29599</v>
      </c>
      <c r="O11" s="4">
        <v>12413</v>
      </c>
      <c r="P11" s="4">
        <v>97529</v>
      </c>
      <c r="Q11" s="4">
        <f t="shared" si="0"/>
        <v>176620</v>
      </c>
    </row>
    <row r="12" spans="1:17">
      <c r="A12" s="5">
        <v>10</v>
      </c>
      <c r="B12" t="s">
        <v>13</v>
      </c>
      <c r="C12" s="1">
        <v>11528</v>
      </c>
      <c r="D12" s="1">
        <v>11842</v>
      </c>
      <c r="E12" s="1">
        <v>10567</v>
      </c>
      <c r="F12" s="1">
        <v>7617</v>
      </c>
      <c r="G12" s="1">
        <v>8639</v>
      </c>
      <c r="H12" s="1">
        <v>9582</v>
      </c>
      <c r="I12" s="1">
        <v>59776</v>
      </c>
      <c r="J12" s="1">
        <v>18626</v>
      </c>
      <c r="K12" s="1">
        <v>19045</v>
      </c>
      <c r="L12" s="1">
        <v>18858</v>
      </c>
      <c r="M12" s="1">
        <v>14335</v>
      </c>
      <c r="N12" s="1">
        <v>18592</v>
      </c>
      <c r="O12" s="1">
        <v>18016</v>
      </c>
      <c r="P12" s="1">
        <v>107471</v>
      </c>
      <c r="Q12" s="1">
        <f t="shared" si="0"/>
        <v>167247</v>
      </c>
    </row>
    <row r="13" spans="1:17">
      <c r="A13" s="5">
        <v>11</v>
      </c>
      <c r="B13" t="s">
        <v>5</v>
      </c>
      <c r="C13" s="1">
        <v>3533</v>
      </c>
      <c r="D13" s="1">
        <v>3539</v>
      </c>
      <c r="E13" s="1">
        <v>5727</v>
      </c>
      <c r="F13" s="1">
        <v>11960</v>
      </c>
      <c r="G13" s="1">
        <v>10249</v>
      </c>
      <c r="H13" s="1">
        <v>5207</v>
      </c>
      <c r="I13" s="1">
        <v>40215</v>
      </c>
      <c r="J13" s="1">
        <v>8868</v>
      </c>
      <c r="K13" s="1">
        <v>9070</v>
      </c>
      <c r="L13" s="1">
        <v>13741</v>
      </c>
      <c r="M13" s="1">
        <v>22364</v>
      </c>
      <c r="N13" s="1">
        <v>23115</v>
      </c>
      <c r="O13" s="1">
        <v>12884</v>
      </c>
      <c r="P13" s="1">
        <v>90042</v>
      </c>
      <c r="Q13" s="1">
        <f t="shared" si="0"/>
        <v>130257</v>
      </c>
    </row>
    <row r="14" spans="1:17">
      <c r="A14" s="5">
        <v>12</v>
      </c>
      <c r="B14" t="s">
        <v>22</v>
      </c>
      <c r="C14" s="1">
        <v>6721</v>
      </c>
      <c r="D14" s="1">
        <v>6565</v>
      </c>
      <c r="E14" s="1">
        <v>6565</v>
      </c>
      <c r="F14" s="1">
        <v>6144</v>
      </c>
      <c r="G14" s="1">
        <v>7027</v>
      </c>
      <c r="H14" s="1">
        <v>8118</v>
      </c>
      <c r="I14" s="1">
        <v>41139</v>
      </c>
      <c r="J14" s="1">
        <v>9916</v>
      </c>
      <c r="K14" s="1">
        <v>9581</v>
      </c>
      <c r="L14" s="1">
        <v>9520</v>
      </c>
      <c r="M14" s="1">
        <v>8222</v>
      </c>
      <c r="N14" s="1">
        <v>11549</v>
      </c>
      <c r="O14" s="1">
        <v>13374</v>
      </c>
      <c r="P14" s="1">
        <v>62162</v>
      </c>
      <c r="Q14" s="1">
        <f t="shared" si="0"/>
        <v>103301</v>
      </c>
    </row>
    <row r="15" spans="1:17">
      <c r="A15" s="5">
        <v>13</v>
      </c>
      <c r="B15" t="s">
        <v>48</v>
      </c>
      <c r="C15" s="1">
        <v>3029</v>
      </c>
      <c r="D15" s="1">
        <v>3042</v>
      </c>
      <c r="E15" s="1">
        <v>3803</v>
      </c>
      <c r="F15" s="1">
        <v>7290</v>
      </c>
      <c r="G15" s="1">
        <v>7035</v>
      </c>
      <c r="H15" s="1">
        <v>4407</v>
      </c>
      <c r="I15" s="1">
        <v>28606</v>
      </c>
      <c r="J15" s="1">
        <v>8644</v>
      </c>
      <c r="K15" s="1">
        <v>8484</v>
      </c>
      <c r="L15" s="1">
        <v>9444</v>
      </c>
      <c r="M15" s="1">
        <v>14403</v>
      </c>
      <c r="N15" s="1">
        <v>18930</v>
      </c>
      <c r="O15" s="1">
        <v>13009</v>
      </c>
      <c r="P15" s="1">
        <v>72913</v>
      </c>
      <c r="Q15" s="1">
        <f t="shared" si="0"/>
        <v>101519</v>
      </c>
    </row>
    <row r="16" spans="1:17">
      <c r="A16" s="5">
        <v>14</v>
      </c>
      <c r="B16" s="3" t="s">
        <v>44</v>
      </c>
      <c r="C16" s="4">
        <v>2330</v>
      </c>
      <c r="D16" s="4">
        <v>2794</v>
      </c>
      <c r="E16" s="4">
        <v>8524</v>
      </c>
      <c r="F16" s="4">
        <v>12048</v>
      </c>
      <c r="G16" s="4">
        <v>10789</v>
      </c>
      <c r="H16" s="4">
        <v>5414</v>
      </c>
      <c r="I16" s="4">
        <v>41899</v>
      </c>
      <c r="J16" s="4">
        <v>3530</v>
      </c>
      <c r="K16" s="4">
        <v>3923</v>
      </c>
      <c r="L16" s="4">
        <v>10444</v>
      </c>
      <c r="M16" s="4">
        <v>10558</v>
      </c>
      <c r="N16" s="4">
        <v>13107</v>
      </c>
      <c r="O16" s="4">
        <v>8112</v>
      </c>
      <c r="P16" s="4">
        <v>49673</v>
      </c>
      <c r="Q16" s="4">
        <f t="shared" si="0"/>
        <v>91572</v>
      </c>
    </row>
    <row r="17" spans="1:17">
      <c r="A17" s="5">
        <v>15</v>
      </c>
      <c r="B17" t="s">
        <v>3</v>
      </c>
      <c r="C17" s="1">
        <v>4833</v>
      </c>
      <c r="D17" s="1">
        <v>4780</v>
      </c>
      <c r="E17" s="1">
        <v>5428</v>
      </c>
      <c r="F17" s="1">
        <v>6682</v>
      </c>
      <c r="G17" s="1">
        <v>5980</v>
      </c>
      <c r="H17" s="1">
        <v>4786</v>
      </c>
      <c r="I17" s="1">
        <v>32489</v>
      </c>
      <c r="J17" s="1">
        <v>8517</v>
      </c>
      <c r="K17" s="1">
        <v>8271</v>
      </c>
      <c r="L17" s="1">
        <v>8978</v>
      </c>
      <c r="M17" s="1">
        <v>10761</v>
      </c>
      <c r="N17" s="1">
        <v>11294</v>
      </c>
      <c r="O17" s="1">
        <v>8262</v>
      </c>
      <c r="P17" s="1">
        <v>56083</v>
      </c>
      <c r="Q17" s="1">
        <f t="shared" si="0"/>
        <v>88572</v>
      </c>
    </row>
    <row r="18" spans="1:17">
      <c r="A18" s="5">
        <v>16</v>
      </c>
      <c r="B18" s="3" t="s">
        <v>18</v>
      </c>
      <c r="C18" s="4">
        <v>4121</v>
      </c>
      <c r="D18" s="4">
        <v>4070</v>
      </c>
      <c r="E18" s="4">
        <v>4478</v>
      </c>
      <c r="F18" s="4">
        <v>5522</v>
      </c>
      <c r="G18" s="4">
        <v>4555</v>
      </c>
      <c r="H18" s="4">
        <v>4276</v>
      </c>
      <c r="I18" s="4">
        <v>27021</v>
      </c>
      <c r="J18" s="4">
        <v>9320</v>
      </c>
      <c r="K18" s="4">
        <v>9196</v>
      </c>
      <c r="L18" s="4">
        <v>10420</v>
      </c>
      <c r="M18" s="4">
        <v>9789</v>
      </c>
      <c r="N18" s="4">
        <v>9032</v>
      </c>
      <c r="O18" s="4">
        <v>8490</v>
      </c>
      <c r="P18" s="4">
        <v>56248</v>
      </c>
      <c r="Q18" s="4">
        <f t="shared" si="0"/>
        <v>83269</v>
      </c>
    </row>
    <row r="19" spans="1:17">
      <c r="A19" s="5">
        <v>17</v>
      </c>
      <c r="B19" t="s">
        <v>4</v>
      </c>
      <c r="C19" s="1">
        <v>3370</v>
      </c>
      <c r="D19" s="1">
        <v>3137</v>
      </c>
      <c r="E19" s="1">
        <v>3590</v>
      </c>
      <c r="F19" s="1">
        <v>5722</v>
      </c>
      <c r="G19" s="1">
        <v>5580</v>
      </c>
      <c r="H19" s="1">
        <v>3766</v>
      </c>
      <c r="I19" s="1">
        <v>25165</v>
      </c>
      <c r="J19" s="1">
        <v>7447</v>
      </c>
      <c r="K19" s="1">
        <v>7366</v>
      </c>
      <c r="L19" s="1">
        <v>7801</v>
      </c>
      <c r="M19" s="1">
        <v>8743</v>
      </c>
      <c r="N19" s="1">
        <v>10633</v>
      </c>
      <c r="O19" s="1">
        <v>7701</v>
      </c>
      <c r="P19" s="1">
        <v>49691</v>
      </c>
      <c r="Q19" s="1">
        <f t="shared" si="0"/>
        <v>74856</v>
      </c>
    </row>
    <row r="20" spans="1:17">
      <c r="A20" s="5">
        <v>18</v>
      </c>
      <c r="B20" t="s">
        <v>41</v>
      </c>
      <c r="C20" s="1">
        <v>3377</v>
      </c>
      <c r="D20" s="1">
        <v>3263</v>
      </c>
      <c r="E20" s="1">
        <v>4081</v>
      </c>
      <c r="F20" s="1">
        <v>8176</v>
      </c>
      <c r="G20" s="1">
        <v>7338</v>
      </c>
      <c r="H20" s="1">
        <v>4603</v>
      </c>
      <c r="I20" s="1">
        <v>30837</v>
      </c>
      <c r="J20" s="1">
        <v>4180</v>
      </c>
      <c r="K20" s="1">
        <v>3940</v>
      </c>
      <c r="L20" s="1">
        <v>5167</v>
      </c>
      <c r="M20" s="1">
        <v>9821</v>
      </c>
      <c r="N20" s="1">
        <v>11614</v>
      </c>
      <c r="O20" s="1">
        <v>7027</v>
      </c>
      <c r="P20" s="1">
        <v>41749</v>
      </c>
      <c r="Q20" s="1">
        <f t="shared" si="0"/>
        <v>72586</v>
      </c>
    </row>
    <row r="21" spans="1:17">
      <c r="A21" s="5">
        <v>19</v>
      </c>
      <c r="B21" t="s">
        <v>30</v>
      </c>
      <c r="C21" s="1">
        <v>3267</v>
      </c>
      <c r="D21" s="1">
        <v>3211</v>
      </c>
      <c r="E21" s="1">
        <v>3332</v>
      </c>
      <c r="F21" s="1">
        <v>4622</v>
      </c>
      <c r="G21" s="1">
        <v>4721</v>
      </c>
      <c r="H21" s="1">
        <v>3858</v>
      </c>
      <c r="I21" s="1">
        <v>23010</v>
      </c>
      <c r="J21" s="1">
        <v>6086</v>
      </c>
      <c r="K21" s="1">
        <v>5836</v>
      </c>
      <c r="L21" s="1">
        <v>6629</v>
      </c>
      <c r="M21" s="1">
        <v>8225</v>
      </c>
      <c r="N21" s="1">
        <v>9777</v>
      </c>
      <c r="O21" s="1">
        <v>7675</v>
      </c>
      <c r="P21" s="1">
        <v>44228</v>
      </c>
      <c r="Q21" s="1">
        <f t="shared" si="0"/>
        <v>67238</v>
      </c>
    </row>
    <row r="22" spans="1:17">
      <c r="A22" s="5">
        <v>20</v>
      </c>
      <c r="B22" t="s">
        <v>10</v>
      </c>
      <c r="C22" s="1">
        <v>3401</v>
      </c>
      <c r="D22" s="1">
        <v>3325</v>
      </c>
      <c r="E22" s="1">
        <v>4019</v>
      </c>
      <c r="F22" s="1">
        <v>4803</v>
      </c>
      <c r="G22" s="1">
        <v>4683</v>
      </c>
      <c r="H22" s="1">
        <v>4158</v>
      </c>
      <c r="I22" s="1">
        <v>24388</v>
      </c>
      <c r="J22" s="1">
        <v>6039</v>
      </c>
      <c r="K22" s="1">
        <v>5652</v>
      </c>
      <c r="L22" s="1">
        <v>6214</v>
      </c>
      <c r="M22" s="1">
        <v>5388</v>
      </c>
      <c r="N22" s="1">
        <v>6632</v>
      </c>
      <c r="O22" s="1">
        <v>6878</v>
      </c>
      <c r="P22" s="1">
        <v>36802</v>
      </c>
      <c r="Q22" s="1">
        <f t="shared" si="0"/>
        <v>61190</v>
      </c>
    </row>
    <row r="23" spans="1:17">
      <c r="A23" s="5">
        <v>21</v>
      </c>
      <c r="B23" t="s">
        <v>6</v>
      </c>
      <c r="C23" s="1">
        <v>1346</v>
      </c>
      <c r="D23" s="1">
        <v>1759</v>
      </c>
      <c r="E23" s="1">
        <v>4247</v>
      </c>
      <c r="F23" s="1">
        <v>8991</v>
      </c>
      <c r="G23" s="1">
        <v>6964</v>
      </c>
      <c r="H23" s="1">
        <v>2346</v>
      </c>
      <c r="I23" s="1">
        <v>25651</v>
      </c>
      <c r="J23" s="1">
        <v>1471</v>
      </c>
      <c r="K23" s="1">
        <v>1783</v>
      </c>
      <c r="L23" s="1">
        <v>4606</v>
      </c>
      <c r="M23" s="1">
        <v>8058</v>
      </c>
      <c r="N23" s="1">
        <v>8087</v>
      </c>
      <c r="O23" s="1">
        <v>2882</v>
      </c>
      <c r="P23" s="1">
        <v>26887</v>
      </c>
      <c r="Q23" s="1">
        <f t="shared" si="0"/>
        <v>52538</v>
      </c>
    </row>
    <row r="24" spans="1:17">
      <c r="A24" s="5">
        <v>22</v>
      </c>
      <c r="B24" t="s">
        <v>35</v>
      </c>
      <c r="C24" s="1">
        <v>2677</v>
      </c>
      <c r="D24" s="1">
        <v>2562</v>
      </c>
      <c r="E24" s="1">
        <v>3260</v>
      </c>
      <c r="F24" s="1">
        <v>6500</v>
      </c>
      <c r="G24" s="1">
        <v>4431</v>
      </c>
      <c r="H24" s="1">
        <v>2632</v>
      </c>
      <c r="I24" s="1">
        <v>22061</v>
      </c>
      <c r="J24" s="1">
        <v>2675</v>
      </c>
      <c r="K24" s="1">
        <v>2697</v>
      </c>
      <c r="L24" s="1">
        <v>4688</v>
      </c>
      <c r="M24" s="1">
        <v>7521</v>
      </c>
      <c r="N24" s="1">
        <v>6317</v>
      </c>
      <c r="O24" s="1">
        <v>2573</v>
      </c>
      <c r="P24" s="1">
        <v>26471</v>
      </c>
      <c r="Q24" s="1">
        <f t="shared" si="0"/>
        <v>48532</v>
      </c>
    </row>
    <row r="25" spans="1:17">
      <c r="A25" s="5">
        <v>23</v>
      </c>
      <c r="B25" t="s">
        <v>45</v>
      </c>
      <c r="C25" s="1">
        <v>3058</v>
      </c>
      <c r="D25" s="1">
        <v>2933</v>
      </c>
      <c r="E25" s="1">
        <v>3285</v>
      </c>
      <c r="F25" s="1">
        <v>4479</v>
      </c>
      <c r="G25" s="1">
        <v>4832</v>
      </c>
      <c r="H25" s="1">
        <v>3638</v>
      </c>
      <c r="I25" s="1">
        <v>22226</v>
      </c>
      <c r="J25" s="1">
        <v>3352</v>
      </c>
      <c r="K25" s="1">
        <v>3334</v>
      </c>
      <c r="L25" s="1">
        <v>3670</v>
      </c>
      <c r="M25" s="1">
        <v>4399</v>
      </c>
      <c r="N25" s="1">
        <v>6059</v>
      </c>
      <c r="O25" s="1">
        <v>4658</v>
      </c>
      <c r="P25" s="1">
        <v>25472</v>
      </c>
      <c r="Q25" s="1">
        <f t="shared" si="0"/>
        <v>47698</v>
      </c>
    </row>
    <row r="26" spans="1:17">
      <c r="A26" s="5">
        <v>24</v>
      </c>
      <c r="B26" s="3" t="s">
        <v>20</v>
      </c>
      <c r="C26" s="4">
        <v>3185</v>
      </c>
      <c r="D26" s="4">
        <v>3175</v>
      </c>
      <c r="E26" s="4">
        <v>3418</v>
      </c>
      <c r="F26" s="4">
        <v>3632</v>
      </c>
      <c r="G26" s="4">
        <v>3355</v>
      </c>
      <c r="H26" s="4">
        <v>3383</v>
      </c>
      <c r="I26" s="4">
        <v>20148</v>
      </c>
      <c r="J26" s="4">
        <v>4170</v>
      </c>
      <c r="K26" s="4">
        <v>4160</v>
      </c>
      <c r="L26" s="4">
        <v>4415</v>
      </c>
      <c r="M26" s="4">
        <v>3408</v>
      </c>
      <c r="N26" s="4">
        <v>4128</v>
      </c>
      <c r="O26" s="4">
        <v>4491</v>
      </c>
      <c r="P26" s="4">
        <v>24772</v>
      </c>
      <c r="Q26" s="4">
        <f t="shared" si="0"/>
        <v>44920</v>
      </c>
    </row>
    <row r="27" spans="1:17">
      <c r="A27" s="5">
        <v>25</v>
      </c>
      <c r="B27" s="3" t="s">
        <v>46</v>
      </c>
      <c r="C27" s="4">
        <v>1199</v>
      </c>
      <c r="D27" s="4">
        <v>1182</v>
      </c>
      <c r="E27" s="4">
        <v>1697</v>
      </c>
      <c r="F27" s="4">
        <v>4429</v>
      </c>
      <c r="G27" s="4">
        <v>3692</v>
      </c>
      <c r="H27" s="4">
        <v>1602</v>
      </c>
      <c r="I27" s="4">
        <v>13801</v>
      </c>
      <c r="J27" s="4">
        <v>2169</v>
      </c>
      <c r="K27" s="4">
        <v>2168</v>
      </c>
      <c r="L27" s="4">
        <v>3263</v>
      </c>
      <c r="M27" s="4">
        <v>6551</v>
      </c>
      <c r="N27" s="4">
        <v>7138</v>
      </c>
      <c r="O27" s="4">
        <v>3011</v>
      </c>
      <c r="P27" s="4">
        <v>24300</v>
      </c>
      <c r="Q27" s="4">
        <f t="shared" si="0"/>
        <v>38101</v>
      </c>
    </row>
    <row r="28" spans="1:17">
      <c r="A28" s="5">
        <v>26</v>
      </c>
      <c r="B28" t="s">
        <v>19</v>
      </c>
      <c r="C28" s="1">
        <v>2900</v>
      </c>
      <c r="D28" s="1">
        <v>2881</v>
      </c>
      <c r="E28" s="1">
        <v>2891</v>
      </c>
      <c r="F28" s="1">
        <v>3156</v>
      </c>
      <c r="G28" s="1">
        <v>2709</v>
      </c>
      <c r="H28" s="1">
        <v>2711</v>
      </c>
      <c r="I28" s="1">
        <v>17247</v>
      </c>
      <c r="J28" s="1">
        <v>3521</v>
      </c>
      <c r="K28" s="1">
        <v>3500</v>
      </c>
      <c r="L28" s="1">
        <v>3717</v>
      </c>
      <c r="M28" s="1">
        <v>2903</v>
      </c>
      <c r="N28" s="1">
        <v>3415</v>
      </c>
      <c r="O28" s="1">
        <v>3330</v>
      </c>
      <c r="P28" s="1">
        <v>20385</v>
      </c>
      <c r="Q28" s="1">
        <f t="shared" si="0"/>
        <v>37632</v>
      </c>
    </row>
    <row r="29" spans="1:17">
      <c r="A29" s="5">
        <v>27</v>
      </c>
      <c r="B29" t="s">
        <v>12</v>
      </c>
      <c r="C29" s="1">
        <v>2561</v>
      </c>
      <c r="D29" s="1">
        <v>2521</v>
      </c>
      <c r="E29" s="1">
        <v>3105</v>
      </c>
      <c r="F29" s="1">
        <v>5876</v>
      </c>
      <c r="G29" s="1">
        <v>4392</v>
      </c>
      <c r="H29" s="1">
        <v>2890</v>
      </c>
      <c r="I29" s="1">
        <v>21344</v>
      </c>
      <c r="J29" s="1">
        <v>1459</v>
      </c>
      <c r="K29" s="1">
        <v>1462</v>
      </c>
      <c r="L29" s="1">
        <v>2233</v>
      </c>
      <c r="M29" s="1">
        <v>4619</v>
      </c>
      <c r="N29" s="1">
        <v>3712</v>
      </c>
      <c r="O29" s="1">
        <v>1757</v>
      </c>
      <c r="P29" s="1">
        <v>15241</v>
      </c>
      <c r="Q29" s="1">
        <f t="shared" si="0"/>
        <v>36585</v>
      </c>
    </row>
    <row r="30" spans="1:17">
      <c r="A30" s="5">
        <v>28</v>
      </c>
      <c r="B30" s="3" t="s">
        <v>11</v>
      </c>
      <c r="C30" s="4">
        <v>1144</v>
      </c>
      <c r="D30" s="4">
        <v>1136</v>
      </c>
      <c r="E30" s="4">
        <v>1291</v>
      </c>
      <c r="F30" s="4">
        <v>2494</v>
      </c>
      <c r="G30" s="4">
        <v>2297</v>
      </c>
      <c r="H30" s="4">
        <v>1521</v>
      </c>
      <c r="I30" s="4">
        <v>9882</v>
      </c>
      <c r="J30" s="4">
        <v>2294</v>
      </c>
      <c r="K30" s="4">
        <v>2193</v>
      </c>
      <c r="L30" s="4">
        <v>2973</v>
      </c>
      <c r="M30" s="4">
        <v>4949</v>
      </c>
      <c r="N30" s="4">
        <v>5299</v>
      </c>
      <c r="O30" s="4">
        <v>3454</v>
      </c>
      <c r="P30" s="4">
        <v>21161</v>
      </c>
      <c r="Q30" s="4">
        <f t="shared" si="0"/>
        <v>31043</v>
      </c>
    </row>
    <row r="31" spans="1:17">
      <c r="A31" s="5">
        <v>29</v>
      </c>
      <c r="B31" s="3" t="s">
        <v>25</v>
      </c>
      <c r="C31" s="4">
        <v>1569</v>
      </c>
      <c r="D31" s="4">
        <v>1545</v>
      </c>
      <c r="E31" s="4">
        <v>1755</v>
      </c>
      <c r="F31" s="4">
        <v>2248</v>
      </c>
      <c r="G31" s="4">
        <v>1997</v>
      </c>
      <c r="H31" s="4">
        <v>1540</v>
      </c>
      <c r="I31" s="4">
        <v>10653</v>
      </c>
      <c r="J31" s="4">
        <v>2682</v>
      </c>
      <c r="K31" s="4">
        <v>2598</v>
      </c>
      <c r="L31" s="4">
        <v>2818</v>
      </c>
      <c r="M31" s="4">
        <v>3232</v>
      </c>
      <c r="N31" s="4">
        <v>3637</v>
      </c>
      <c r="O31" s="4">
        <v>2567</v>
      </c>
      <c r="P31" s="4">
        <v>17534</v>
      </c>
      <c r="Q31" s="4">
        <f t="shared" si="0"/>
        <v>28187</v>
      </c>
    </row>
    <row r="32" spans="1:17">
      <c r="A32" s="5">
        <v>30</v>
      </c>
      <c r="B32" s="3" t="s">
        <v>32</v>
      </c>
      <c r="C32" s="4">
        <v>664</v>
      </c>
      <c r="D32" s="4">
        <v>917</v>
      </c>
      <c r="E32" s="4">
        <v>3046</v>
      </c>
      <c r="F32" s="4">
        <v>3949</v>
      </c>
      <c r="G32" s="4">
        <v>2804</v>
      </c>
      <c r="H32" s="4">
        <v>1537</v>
      </c>
      <c r="I32" s="4">
        <v>12917</v>
      </c>
      <c r="J32" s="4">
        <v>538</v>
      </c>
      <c r="K32" s="4">
        <v>705</v>
      </c>
      <c r="L32" s="4">
        <v>3711</v>
      </c>
      <c r="M32" s="4">
        <v>4128</v>
      </c>
      <c r="N32" s="4">
        <v>3823</v>
      </c>
      <c r="O32" s="4">
        <v>1869</v>
      </c>
      <c r="P32" s="4">
        <v>14772</v>
      </c>
      <c r="Q32" s="4">
        <f t="shared" si="0"/>
        <v>27689</v>
      </c>
    </row>
    <row r="33" spans="1:17">
      <c r="A33" s="5">
        <v>31</v>
      </c>
      <c r="B33" t="s">
        <v>47</v>
      </c>
      <c r="C33" s="1">
        <v>836</v>
      </c>
      <c r="D33" s="1">
        <v>796</v>
      </c>
      <c r="E33" s="1">
        <v>1201</v>
      </c>
      <c r="F33" s="1">
        <v>2726</v>
      </c>
      <c r="G33" s="1">
        <v>2034</v>
      </c>
      <c r="H33" s="1">
        <v>893</v>
      </c>
      <c r="I33" s="1">
        <v>8486</v>
      </c>
      <c r="J33" s="1">
        <v>1020</v>
      </c>
      <c r="K33" s="1">
        <v>1014</v>
      </c>
      <c r="L33" s="1">
        <v>2001</v>
      </c>
      <c r="M33" s="1">
        <v>4726</v>
      </c>
      <c r="N33" s="1">
        <v>4146</v>
      </c>
      <c r="O33" s="1">
        <v>1301</v>
      </c>
      <c r="P33" s="1">
        <v>14208</v>
      </c>
      <c r="Q33" s="1">
        <f t="shared" si="0"/>
        <v>22694</v>
      </c>
    </row>
    <row r="34" spans="1:17">
      <c r="A34" s="5">
        <v>32</v>
      </c>
      <c r="B34" s="3" t="s">
        <v>37</v>
      </c>
      <c r="C34" s="4">
        <v>1286</v>
      </c>
      <c r="D34" s="4">
        <v>1270</v>
      </c>
      <c r="E34" s="4">
        <v>1189</v>
      </c>
      <c r="F34" s="4">
        <v>1151</v>
      </c>
      <c r="G34" s="4">
        <v>1030</v>
      </c>
      <c r="H34" s="4">
        <v>1159</v>
      </c>
      <c r="I34" s="4">
        <v>7084</v>
      </c>
      <c r="J34" s="4">
        <v>2238</v>
      </c>
      <c r="K34" s="4">
        <v>2310</v>
      </c>
      <c r="L34" s="4">
        <v>2209</v>
      </c>
      <c r="M34" s="4">
        <v>1677</v>
      </c>
      <c r="N34" s="4">
        <v>1906</v>
      </c>
      <c r="O34" s="4">
        <v>2023</v>
      </c>
      <c r="P34" s="4">
        <v>12362</v>
      </c>
      <c r="Q34" s="4">
        <f t="shared" si="0"/>
        <v>19446</v>
      </c>
    </row>
    <row r="35" spans="1:17">
      <c r="A35" s="5">
        <v>33</v>
      </c>
      <c r="B35" s="3" t="s">
        <v>28</v>
      </c>
      <c r="C35" s="4">
        <v>1294</v>
      </c>
      <c r="D35" s="4">
        <v>1333</v>
      </c>
      <c r="E35" s="4">
        <v>1175</v>
      </c>
      <c r="F35" s="4">
        <v>821</v>
      </c>
      <c r="G35" s="4">
        <v>943</v>
      </c>
      <c r="H35" s="4">
        <v>1058</v>
      </c>
      <c r="I35" s="4">
        <v>6624</v>
      </c>
      <c r="J35" s="4">
        <v>1849</v>
      </c>
      <c r="K35" s="4">
        <v>1893</v>
      </c>
      <c r="L35" s="4">
        <v>1869</v>
      </c>
      <c r="M35" s="4">
        <v>1401</v>
      </c>
      <c r="N35" s="4">
        <v>1839</v>
      </c>
      <c r="O35" s="4">
        <v>1776</v>
      </c>
      <c r="P35" s="4">
        <v>10628</v>
      </c>
      <c r="Q35" s="4">
        <f t="shared" ref="Q35:Q52" si="1">P35+I35</f>
        <v>17252</v>
      </c>
    </row>
    <row r="36" spans="1:17">
      <c r="A36" s="5">
        <v>34</v>
      </c>
      <c r="B36" t="s">
        <v>43</v>
      </c>
      <c r="C36" s="1">
        <v>905</v>
      </c>
      <c r="D36" s="1">
        <v>897</v>
      </c>
      <c r="E36" s="1">
        <v>955</v>
      </c>
      <c r="F36" s="1">
        <v>1188</v>
      </c>
      <c r="G36" s="1">
        <v>969</v>
      </c>
      <c r="H36" s="1">
        <v>885</v>
      </c>
      <c r="I36" s="1">
        <v>5798</v>
      </c>
      <c r="J36" s="1">
        <v>1507</v>
      </c>
      <c r="K36" s="1">
        <v>1508</v>
      </c>
      <c r="L36" s="1">
        <v>1741</v>
      </c>
      <c r="M36" s="1">
        <v>2145</v>
      </c>
      <c r="N36" s="1">
        <v>2156</v>
      </c>
      <c r="O36" s="1">
        <v>1590</v>
      </c>
      <c r="P36" s="1">
        <v>10647</v>
      </c>
      <c r="Q36" s="1">
        <f t="shared" si="1"/>
        <v>16445</v>
      </c>
    </row>
    <row r="37" spans="1:17">
      <c r="A37" s="5">
        <v>35</v>
      </c>
      <c r="B37" t="s">
        <v>38</v>
      </c>
      <c r="C37" s="1">
        <v>1144</v>
      </c>
      <c r="D37" s="1">
        <v>1136</v>
      </c>
      <c r="E37" s="1">
        <v>1223</v>
      </c>
      <c r="F37" s="1">
        <v>1338</v>
      </c>
      <c r="G37" s="1">
        <v>1206</v>
      </c>
      <c r="H37" s="1">
        <v>1120</v>
      </c>
      <c r="I37" s="1">
        <v>7167</v>
      </c>
      <c r="J37" s="1">
        <v>1461</v>
      </c>
      <c r="K37" s="1">
        <v>1527</v>
      </c>
      <c r="L37" s="1">
        <v>1633</v>
      </c>
      <c r="M37" s="1">
        <v>1429</v>
      </c>
      <c r="N37" s="1">
        <v>1743</v>
      </c>
      <c r="O37" s="1">
        <v>1456</v>
      </c>
      <c r="P37" s="1">
        <v>9249</v>
      </c>
      <c r="Q37" s="1">
        <f t="shared" si="1"/>
        <v>16416</v>
      </c>
    </row>
    <row r="38" spans="1:17">
      <c r="A38" s="5">
        <v>36</v>
      </c>
      <c r="B38" s="3" t="s">
        <v>49</v>
      </c>
      <c r="C38" s="4">
        <v>867</v>
      </c>
      <c r="D38" s="4">
        <v>835</v>
      </c>
      <c r="E38" s="4">
        <v>988</v>
      </c>
      <c r="F38" s="4">
        <v>1281</v>
      </c>
      <c r="G38" s="4">
        <v>1168</v>
      </c>
      <c r="H38" s="4">
        <v>994</v>
      </c>
      <c r="I38" s="4">
        <v>6133</v>
      </c>
      <c r="J38" s="4">
        <v>1428</v>
      </c>
      <c r="K38" s="4">
        <v>1380</v>
      </c>
      <c r="L38" s="4">
        <v>1649</v>
      </c>
      <c r="M38" s="4">
        <v>1799</v>
      </c>
      <c r="N38" s="4">
        <v>2096</v>
      </c>
      <c r="O38" s="4">
        <v>1745</v>
      </c>
      <c r="P38" s="4">
        <v>10097</v>
      </c>
      <c r="Q38" s="4">
        <f t="shared" si="1"/>
        <v>16230</v>
      </c>
    </row>
    <row r="39" spans="1:17">
      <c r="A39" s="5">
        <v>37</v>
      </c>
      <c r="B39" t="s">
        <v>31</v>
      </c>
      <c r="C39" s="1">
        <v>403</v>
      </c>
      <c r="D39" s="1">
        <v>478</v>
      </c>
      <c r="E39" s="1">
        <v>1119</v>
      </c>
      <c r="F39" s="1">
        <v>1424</v>
      </c>
      <c r="G39" s="1">
        <v>1124</v>
      </c>
      <c r="H39" s="1">
        <v>643</v>
      </c>
      <c r="I39" s="1">
        <v>5190</v>
      </c>
      <c r="J39" s="1">
        <v>719</v>
      </c>
      <c r="K39" s="1">
        <v>810</v>
      </c>
      <c r="L39" s="1">
        <v>1701</v>
      </c>
      <c r="M39" s="1">
        <v>1758</v>
      </c>
      <c r="N39" s="1">
        <v>1821</v>
      </c>
      <c r="O39" s="1">
        <v>1078</v>
      </c>
      <c r="P39" s="1">
        <v>7887</v>
      </c>
      <c r="Q39" s="1">
        <f t="shared" si="1"/>
        <v>13077</v>
      </c>
    </row>
    <row r="40" spans="1:17">
      <c r="A40" s="5">
        <v>38</v>
      </c>
      <c r="B40" t="s">
        <v>36</v>
      </c>
      <c r="C40" s="1">
        <v>732</v>
      </c>
      <c r="D40" s="1">
        <v>686</v>
      </c>
      <c r="E40" s="1">
        <v>664</v>
      </c>
      <c r="F40" s="1">
        <v>645</v>
      </c>
      <c r="G40" s="1">
        <v>829</v>
      </c>
      <c r="H40" s="1">
        <v>966</v>
      </c>
      <c r="I40" s="1">
        <v>4522</v>
      </c>
      <c r="J40" s="1">
        <v>1015</v>
      </c>
      <c r="K40" s="1">
        <v>874</v>
      </c>
      <c r="L40" s="1">
        <v>818</v>
      </c>
      <c r="M40" s="1">
        <v>702</v>
      </c>
      <c r="N40" s="1">
        <v>1151</v>
      </c>
      <c r="O40" s="1">
        <v>1502</v>
      </c>
      <c r="P40" s="1">
        <v>6062</v>
      </c>
      <c r="Q40" s="1">
        <f t="shared" si="1"/>
        <v>10584</v>
      </c>
    </row>
    <row r="41" spans="1:17">
      <c r="A41" s="5">
        <v>39</v>
      </c>
      <c r="B41" s="3" t="s">
        <v>34</v>
      </c>
      <c r="C41" s="4">
        <v>372</v>
      </c>
      <c r="D41" s="4">
        <v>408</v>
      </c>
      <c r="E41" s="4">
        <v>924</v>
      </c>
      <c r="F41" s="4">
        <v>1286</v>
      </c>
      <c r="G41" s="4">
        <v>1001</v>
      </c>
      <c r="H41" s="4">
        <v>573</v>
      </c>
      <c r="I41" s="4">
        <v>4565</v>
      </c>
      <c r="J41" s="4">
        <v>544</v>
      </c>
      <c r="K41" s="4">
        <v>574</v>
      </c>
      <c r="L41" s="4">
        <v>1033</v>
      </c>
      <c r="M41" s="4">
        <v>942</v>
      </c>
      <c r="N41" s="4">
        <v>1235</v>
      </c>
      <c r="O41" s="4">
        <v>764</v>
      </c>
      <c r="P41" s="4">
        <v>5093</v>
      </c>
      <c r="Q41" s="4">
        <f t="shared" si="1"/>
        <v>9658</v>
      </c>
    </row>
    <row r="42" spans="1:17">
      <c r="A42" s="5">
        <v>40</v>
      </c>
      <c r="B42" s="3" t="s">
        <v>39</v>
      </c>
      <c r="C42" s="4">
        <v>670</v>
      </c>
      <c r="D42" s="4">
        <v>669</v>
      </c>
      <c r="E42" s="4">
        <v>701</v>
      </c>
      <c r="F42" s="4">
        <v>741</v>
      </c>
      <c r="G42" s="4">
        <v>622</v>
      </c>
      <c r="H42" s="4">
        <v>653</v>
      </c>
      <c r="I42" s="4">
        <v>4057</v>
      </c>
      <c r="J42" s="4">
        <v>930</v>
      </c>
      <c r="K42" s="4">
        <v>951</v>
      </c>
      <c r="L42" s="4">
        <v>962</v>
      </c>
      <c r="M42" s="4">
        <v>646</v>
      </c>
      <c r="N42" s="4">
        <v>893</v>
      </c>
      <c r="O42" s="4">
        <v>971</v>
      </c>
      <c r="P42" s="4">
        <v>5354</v>
      </c>
      <c r="Q42" s="4">
        <f t="shared" si="1"/>
        <v>9411</v>
      </c>
    </row>
    <row r="43" spans="1:17">
      <c r="A43" s="5">
        <v>41</v>
      </c>
      <c r="B43" s="3" t="s">
        <v>42</v>
      </c>
      <c r="C43" s="4">
        <v>527</v>
      </c>
      <c r="D43" s="4">
        <v>511</v>
      </c>
      <c r="E43" s="4">
        <v>500</v>
      </c>
      <c r="F43" s="4">
        <v>544</v>
      </c>
      <c r="G43" s="4">
        <v>542</v>
      </c>
      <c r="H43" s="4">
        <v>527</v>
      </c>
      <c r="I43" s="4">
        <v>3152</v>
      </c>
      <c r="J43" s="4">
        <v>813</v>
      </c>
      <c r="K43" s="4">
        <v>831</v>
      </c>
      <c r="L43" s="4">
        <v>835</v>
      </c>
      <c r="M43" s="4">
        <v>649</v>
      </c>
      <c r="N43" s="4">
        <v>845</v>
      </c>
      <c r="O43" s="4">
        <v>820</v>
      </c>
      <c r="P43" s="4">
        <v>4793</v>
      </c>
      <c r="Q43" s="4">
        <f t="shared" si="1"/>
        <v>7945</v>
      </c>
    </row>
    <row r="44" spans="1:17">
      <c r="A44" s="5">
        <v>42</v>
      </c>
      <c r="B44" t="s">
        <v>14</v>
      </c>
      <c r="C44" s="1">
        <v>256</v>
      </c>
      <c r="D44" s="1">
        <v>245</v>
      </c>
      <c r="E44" s="1">
        <v>271</v>
      </c>
      <c r="F44" s="1">
        <v>365</v>
      </c>
      <c r="G44" s="1">
        <v>390</v>
      </c>
      <c r="H44" s="1">
        <v>300</v>
      </c>
      <c r="I44" s="1">
        <v>1827</v>
      </c>
      <c r="J44" s="1">
        <v>482</v>
      </c>
      <c r="K44" s="1">
        <v>477</v>
      </c>
      <c r="L44" s="1">
        <v>520</v>
      </c>
      <c r="M44" s="1">
        <v>572</v>
      </c>
      <c r="N44" s="1">
        <v>806</v>
      </c>
      <c r="O44" s="1">
        <v>642</v>
      </c>
      <c r="P44" s="1">
        <v>3499</v>
      </c>
      <c r="Q44" s="1">
        <f t="shared" si="1"/>
        <v>5326</v>
      </c>
    </row>
    <row r="45" spans="1:17">
      <c r="A45" s="5">
        <v>43</v>
      </c>
      <c r="B45" s="3" t="s">
        <v>8</v>
      </c>
      <c r="C45" s="4">
        <v>177</v>
      </c>
      <c r="D45" s="4">
        <v>178</v>
      </c>
      <c r="E45" s="4">
        <v>305</v>
      </c>
      <c r="F45" s="4">
        <v>839</v>
      </c>
      <c r="G45" s="4">
        <v>488</v>
      </c>
      <c r="H45" s="4">
        <v>237</v>
      </c>
      <c r="I45" s="4">
        <v>2225</v>
      </c>
      <c r="J45" s="4">
        <v>165</v>
      </c>
      <c r="K45" s="4">
        <v>160</v>
      </c>
      <c r="L45" s="4">
        <v>275</v>
      </c>
      <c r="M45" s="4">
        <v>781</v>
      </c>
      <c r="N45" s="4">
        <v>542</v>
      </c>
      <c r="O45" s="4">
        <v>187</v>
      </c>
      <c r="P45" s="4">
        <v>2110</v>
      </c>
      <c r="Q45" s="4">
        <f t="shared" si="1"/>
        <v>4335</v>
      </c>
    </row>
    <row r="46" spans="1:17">
      <c r="A46" s="5">
        <v>44</v>
      </c>
      <c r="B46" s="3" t="s">
        <v>40</v>
      </c>
      <c r="C46" s="4">
        <v>151</v>
      </c>
      <c r="D46" s="4">
        <v>150</v>
      </c>
      <c r="E46" s="4">
        <v>211</v>
      </c>
      <c r="F46" s="4">
        <v>603</v>
      </c>
      <c r="G46" s="4">
        <v>499</v>
      </c>
      <c r="H46" s="4">
        <v>204</v>
      </c>
      <c r="I46" s="4">
        <v>1819</v>
      </c>
      <c r="J46" s="4">
        <v>191</v>
      </c>
      <c r="K46" s="4">
        <v>192</v>
      </c>
      <c r="L46" s="4">
        <v>311</v>
      </c>
      <c r="M46" s="4">
        <v>643</v>
      </c>
      <c r="N46" s="4">
        <v>764</v>
      </c>
      <c r="O46" s="4">
        <v>279</v>
      </c>
      <c r="P46" s="4">
        <v>2381</v>
      </c>
      <c r="Q46" s="4">
        <f t="shared" si="1"/>
        <v>4200</v>
      </c>
    </row>
    <row r="47" spans="1:17">
      <c r="A47" s="5">
        <v>45</v>
      </c>
      <c r="B47" s="3" t="s">
        <v>0</v>
      </c>
      <c r="C47" s="4">
        <v>236</v>
      </c>
      <c r="D47" s="4">
        <v>227</v>
      </c>
      <c r="E47" s="4">
        <v>287</v>
      </c>
      <c r="F47" s="4">
        <v>385</v>
      </c>
      <c r="G47" s="4">
        <v>324</v>
      </c>
      <c r="H47" s="4">
        <v>244</v>
      </c>
      <c r="I47" s="4">
        <v>1703</v>
      </c>
      <c r="J47" s="4">
        <v>307</v>
      </c>
      <c r="K47" s="4">
        <v>310</v>
      </c>
      <c r="L47" s="4">
        <v>428</v>
      </c>
      <c r="M47" s="4">
        <v>411</v>
      </c>
      <c r="N47" s="4">
        <v>490</v>
      </c>
      <c r="O47" s="4">
        <v>323</v>
      </c>
      <c r="P47" s="4">
        <v>2269</v>
      </c>
      <c r="Q47" s="4">
        <f t="shared" si="1"/>
        <v>3972</v>
      </c>
    </row>
    <row r="48" spans="1:17">
      <c r="A48" s="5">
        <v>46</v>
      </c>
      <c r="B48" s="3" t="s">
        <v>24</v>
      </c>
      <c r="C48" s="4">
        <v>11</v>
      </c>
      <c r="D48" s="4">
        <v>22</v>
      </c>
      <c r="E48" s="4">
        <v>137</v>
      </c>
      <c r="F48" s="4">
        <v>325</v>
      </c>
      <c r="G48" s="4">
        <v>203</v>
      </c>
      <c r="H48" s="4">
        <v>47</v>
      </c>
      <c r="I48" s="4">
        <v>745</v>
      </c>
      <c r="J48" s="4">
        <v>9</v>
      </c>
      <c r="K48" s="4">
        <v>14</v>
      </c>
      <c r="L48" s="4">
        <v>115</v>
      </c>
      <c r="M48" s="4">
        <v>220</v>
      </c>
      <c r="N48" s="4">
        <v>204</v>
      </c>
      <c r="O48" s="4">
        <v>38</v>
      </c>
      <c r="P48" s="4">
        <v>600</v>
      </c>
      <c r="Q48" s="4">
        <f t="shared" si="1"/>
        <v>1345</v>
      </c>
    </row>
    <row r="49" spans="1:17">
      <c r="A49" s="5">
        <v>47</v>
      </c>
      <c r="B49" t="s">
        <v>9</v>
      </c>
      <c r="C49" s="1">
        <v>2</v>
      </c>
      <c r="D49" s="1">
        <v>4</v>
      </c>
      <c r="E49" s="1">
        <v>69</v>
      </c>
      <c r="F49" s="1">
        <v>99</v>
      </c>
      <c r="G49" s="1">
        <v>79</v>
      </c>
      <c r="H49" s="1">
        <v>21</v>
      </c>
      <c r="I49" s="1">
        <v>274</v>
      </c>
      <c r="J49" s="1">
        <v>9</v>
      </c>
      <c r="K49" s="1">
        <v>12</v>
      </c>
      <c r="L49" s="1">
        <v>100</v>
      </c>
      <c r="M49" s="1">
        <v>95</v>
      </c>
      <c r="N49" s="1">
        <v>121</v>
      </c>
      <c r="O49" s="1">
        <v>41</v>
      </c>
      <c r="P49" s="1">
        <v>379</v>
      </c>
      <c r="Q49" s="1">
        <f t="shared" si="1"/>
        <v>653</v>
      </c>
    </row>
    <row r="50" spans="1:17">
      <c r="A50" s="5">
        <v>48</v>
      </c>
      <c r="B50" s="3" t="s">
        <v>27</v>
      </c>
      <c r="C50" s="4">
        <v>26</v>
      </c>
      <c r="D50" s="4">
        <v>26</v>
      </c>
      <c r="E50" s="4">
        <v>36</v>
      </c>
      <c r="F50" s="4">
        <v>46</v>
      </c>
      <c r="G50" s="4">
        <v>42</v>
      </c>
      <c r="H50" s="4">
        <v>29</v>
      </c>
      <c r="I50" s="4">
        <v>206</v>
      </c>
      <c r="J50" s="4">
        <v>34</v>
      </c>
      <c r="K50" s="4">
        <v>35</v>
      </c>
      <c r="L50" s="4">
        <v>42</v>
      </c>
      <c r="M50" s="4">
        <v>41</v>
      </c>
      <c r="N50" s="4">
        <v>43</v>
      </c>
      <c r="O50" s="4">
        <v>35</v>
      </c>
      <c r="P50" s="4">
        <v>229</v>
      </c>
      <c r="Q50" s="4">
        <f t="shared" si="1"/>
        <v>435</v>
      </c>
    </row>
    <row r="51" spans="1:17">
      <c r="A51" s="5">
        <v>49</v>
      </c>
      <c r="B51" t="s">
        <v>2</v>
      </c>
      <c r="C51" s="1">
        <v>6</v>
      </c>
      <c r="D51" s="1">
        <v>5</v>
      </c>
      <c r="E51" s="1">
        <v>9</v>
      </c>
      <c r="F51" s="1">
        <v>32</v>
      </c>
      <c r="G51" s="1">
        <v>26</v>
      </c>
      <c r="H51" s="1">
        <v>8</v>
      </c>
      <c r="I51" s="1">
        <v>87</v>
      </c>
      <c r="J51" s="1">
        <v>27</v>
      </c>
      <c r="K51" s="1">
        <v>27</v>
      </c>
      <c r="L51" s="1">
        <v>46</v>
      </c>
      <c r="M51" s="1">
        <v>86</v>
      </c>
      <c r="N51" s="1">
        <v>112</v>
      </c>
      <c r="O51" s="1">
        <v>41</v>
      </c>
      <c r="P51" s="1">
        <v>340</v>
      </c>
      <c r="Q51" s="1">
        <f t="shared" si="1"/>
        <v>427</v>
      </c>
    </row>
    <row r="52" spans="1:17">
      <c r="A52" s="5">
        <v>50</v>
      </c>
      <c r="B52" t="s">
        <v>15</v>
      </c>
      <c r="C52" s="1">
        <v>1</v>
      </c>
      <c r="D52" s="1">
        <v>1</v>
      </c>
      <c r="E52" s="1">
        <v>0</v>
      </c>
      <c r="F52" s="1">
        <v>1</v>
      </c>
      <c r="G52" s="1">
        <v>1</v>
      </c>
      <c r="H52" s="1">
        <v>1</v>
      </c>
      <c r="I52" s="1">
        <v>4</v>
      </c>
      <c r="J52" s="1">
        <v>1</v>
      </c>
      <c r="K52" s="1">
        <v>1</v>
      </c>
      <c r="L52" s="1">
        <v>0</v>
      </c>
      <c r="M52" s="1">
        <v>1</v>
      </c>
      <c r="N52" s="1">
        <v>1</v>
      </c>
      <c r="O52" s="1">
        <v>1</v>
      </c>
      <c r="P52" s="1">
        <v>4</v>
      </c>
      <c r="Q52" s="1">
        <f t="shared" si="1"/>
        <v>8</v>
      </c>
    </row>
  </sheetData>
  <sortState xmlns:xlrd2="http://schemas.microsoft.com/office/spreadsheetml/2017/richdata2" ref="B3:Q52">
    <sortCondition descending="1" ref="Q3:Q52"/>
  </sortState>
  <mergeCells count="2">
    <mergeCell ref="C1:I1"/>
    <mergeCell ref="J1:P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기간별(부산제외)</vt:lpstr>
      <vt:lpstr>지역별(부산제외)</vt:lpstr>
      <vt:lpstr>성별(부산제외)</vt:lpstr>
      <vt:lpstr>연령대별(부산제외)</vt:lpstr>
      <vt:lpstr>요일별(부산제외)</vt:lpstr>
      <vt:lpstr>시간대별(부산제외)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김여명</dc:creator>
  <cp:lastModifiedBy>명근 송</cp:lastModifiedBy>
  <dcterms:created xsi:type="dcterms:W3CDTF">2023-02-10T02:16:35Z</dcterms:created>
  <dcterms:modified xsi:type="dcterms:W3CDTF">2025-06-11T08:21:02Z</dcterms:modified>
</cp:coreProperties>
</file>